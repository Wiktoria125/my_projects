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25" windowHeight="11625"/>
  </bookViews>
  <sheets>
    <sheet name="MACRO" sheetId="60" r:id="rId1"/>
    <sheet name="Summary" sheetId="53" r:id="rId2"/>
    <sheet name="Blocked for payment_details" sheetId="2" r:id="rId3"/>
    <sheet name="EX.RATES" sheetId="54" state="hidden" r:id="rId4"/>
  </sheets>
  <definedNames>
    <definedName name="_xlnm._FilterDatabase" localSheetId="2" hidden="1">'Blocked for payment_details'!$A$1:$Z$189</definedName>
    <definedName name="_xlnm._FilterDatabase" localSheetId="3" hidden="1">EX.RATES!$A$1:$H$108</definedName>
  </definedNames>
  <calcPr calcId="145621"/>
  <pivotCaches>
    <pivotCache cacheId="19" r:id="rId5"/>
    <pivotCache cacheId="2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2" i="2" l="1"/>
  <c r="W2" i="2" s="1"/>
  <c r="X2" i="2" s="1"/>
  <c r="T2" i="2"/>
  <c r="S2" i="2"/>
  <c r="Q2" i="2"/>
  <c r="J2" i="2"/>
</calcChain>
</file>

<file path=xl/comments1.xml><?xml version="1.0" encoding="utf-8"?>
<comments xmlns="http://schemas.openxmlformats.org/spreadsheetml/2006/main">
  <authors>
    <author>Kloc, Pawel</author>
  </authors>
  <commentList>
    <comment ref="P1" authorId="0">
      <text>
        <r>
          <rPr>
            <b/>
            <sz val="9"/>
            <color indexed="81"/>
            <rFont val="Tahoma"/>
            <family val="2"/>
          </rPr>
          <t>Kloc, Pawel:</t>
        </r>
        <r>
          <rPr>
            <sz val="9"/>
            <color indexed="81"/>
            <rFont val="Tahoma"/>
            <family val="2"/>
          </rPr>
          <t xml:space="preserve">
Payment terms</t>
        </r>
      </text>
    </comment>
    <comment ref="W1" authorId="0">
      <text>
        <r>
          <rPr>
            <b/>
            <sz val="9"/>
            <color indexed="81"/>
            <rFont val="Tahoma"/>
            <family val="2"/>
          </rPr>
          <t>Kloc, Pawel:</t>
        </r>
        <r>
          <rPr>
            <sz val="9"/>
            <color indexed="81"/>
            <rFont val="Tahoma"/>
            <family val="2"/>
          </rPr>
          <t xml:space="preserve">
Please copy and paste as values</t>
        </r>
      </text>
    </comment>
  </commentList>
</comments>
</file>

<file path=xl/sharedStrings.xml><?xml version="1.0" encoding="utf-8"?>
<sst xmlns="http://schemas.openxmlformats.org/spreadsheetml/2006/main" count="54" uniqueCount="43">
  <si>
    <t>USD</t>
  </si>
  <si>
    <t>Invoice Item</t>
  </si>
  <si>
    <t>Purchasing Document</t>
  </si>
  <si>
    <t>Plant</t>
  </si>
  <si>
    <t>Owner</t>
  </si>
  <si>
    <t>Aging</t>
  </si>
  <si>
    <t>Aging days</t>
  </si>
  <si>
    <t>Comments</t>
  </si>
  <si>
    <t>Invoicing Party</t>
  </si>
  <si>
    <t>Invoice Document No.</t>
  </si>
  <si>
    <t>Amount</t>
  </si>
  <si>
    <t>Currency</t>
  </si>
  <si>
    <t>Posting Date</t>
  </si>
  <si>
    <t>Material</t>
  </si>
  <si>
    <t>Difference Quantity</t>
  </si>
  <si>
    <t>Difference Value</t>
  </si>
  <si>
    <t>Baseline Payment Dte</t>
  </si>
  <si>
    <t>Days 1</t>
  </si>
  <si>
    <t>Due date</t>
  </si>
  <si>
    <t>Quanity check</t>
  </si>
  <si>
    <t>Price check</t>
  </si>
  <si>
    <t>Payment block reason</t>
  </si>
  <si>
    <t>Count of Invoice Document No.</t>
  </si>
  <si>
    <t>R-block reason</t>
  </si>
  <si>
    <t>Invoices on hold per exception reason</t>
  </si>
  <si>
    <t>Exchange Rate Type</t>
  </si>
  <si>
    <t>From currency</t>
  </si>
  <si>
    <t>To-currency</t>
  </si>
  <si>
    <t>Valid from</t>
  </si>
  <si>
    <t>Exchange Rate</t>
  </si>
  <si>
    <t>Amount in USD</t>
  </si>
  <si>
    <t>FX rate</t>
  </si>
  <si>
    <t>Sum of Amount in USD</t>
  </si>
  <si>
    <t xml:space="preserve">PO Item </t>
  </si>
  <si>
    <t>PO+Item</t>
  </si>
  <si>
    <t>[6] &gt;360 days</t>
  </si>
  <si>
    <t>Invoices on hold per aging</t>
  </si>
  <si>
    <t>Cocd</t>
  </si>
  <si>
    <t>macro for blocked invoices report</t>
  </si>
  <si>
    <t>Suma końcowa</t>
  </si>
  <si>
    <t>Razem: Sum of Amount in USD</t>
  </si>
  <si>
    <t>Razem: Count of Invoice Document No.</t>
  </si>
  <si>
    <t>(puste)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</si>
</sst>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-* #,##0.00_-;\-* #,##0.00_-;_-* &quot;-&quot;??_-;_-@_-"/>
    <numFmt numFmtId="166" formatCode="_-* #,##0_-;\-* #,##0_-;_-* &quot;-&quot;??_-;_-@_-"/>
    <numFmt numFmtId="167" formatCode="#,##0.0000000"/>
  </numFmts>
  <fonts count="4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238"/>
    </font>
    <font>
      <sz val="10"/>
      <name val="Arial"/>
      <family val="2"/>
    </font>
    <font>
      <u/>
      <sz val="10"/>
      <color theme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charset val="134"/>
      <scheme val="minor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9"/>
      <color theme="0"/>
      <name val="Arial"/>
      <family val="2"/>
      <charset val="238"/>
    </font>
    <font>
      <sz val="10"/>
      <color theme="0"/>
      <name val="Arial"/>
      <family val="2"/>
      <charset val="238"/>
    </font>
    <font>
      <b/>
      <sz val="16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15">
    <xf numFmtId="0" fontId="0" fillId="0" borderId="0"/>
    <xf numFmtId="0" fontId="12" fillId="0" borderId="0"/>
    <xf numFmtId="0" fontId="10" fillId="0" borderId="0"/>
    <xf numFmtId="0" fontId="11" fillId="0" borderId="0"/>
    <xf numFmtId="0" fontId="9" fillId="0" borderId="0"/>
    <xf numFmtId="0" fontId="12" fillId="0" borderId="0"/>
    <xf numFmtId="0" fontId="13" fillId="0" borderId="0"/>
    <xf numFmtId="0" fontId="12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11" fillId="0" borderId="0"/>
    <xf numFmtId="0" fontId="11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5" fillId="0" borderId="0"/>
    <xf numFmtId="0" fontId="17" fillId="0" borderId="0" applyNumberFormat="0" applyFill="0" applyBorder="0" applyAlignment="0" applyProtection="0"/>
    <xf numFmtId="0" fontId="18" fillId="0" borderId="2" applyNumberFormat="0" applyFill="0" applyAlignment="0" applyProtection="0"/>
    <xf numFmtId="0" fontId="19" fillId="0" borderId="3" applyNumberFormat="0" applyFill="0" applyAlignment="0" applyProtection="0"/>
    <xf numFmtId="0" fontId="20" fillId="0" borderId="4" applyNumberFormat="0" applyFill="0" applyAlignment="0" applyProtection="0"/>
    <xf numFmtId="0" fontId="20" fillId="0" borderId="0" applyNumberFormat="0" applyFill="0" applyBorder="0" applyAlignment="0" applyProtection="0"/>
    <xf numFmtId="0" fontId="21" fillId="4" borderId="0" applyNumberFormat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5" applyNumberFormat="0" applyAlignment="0" applyProtection="0"/>
    <xf numFmtId="0" fontId="25" fillId="8" borderId="6" applyNumberFormat="0" applyAlignment="0" applyProtection="0"/>
    <xf numFmtId="0" fontId="26" fillId="8" borderId="5" applyNumberFormat="0" applyAlignment="0" applyProtection="0"/>
    <xf numFmtId="0" fontId="27" fillId="0" borderId="7" applyNumberFormat="0" applyFill="0" applyAlignment="0" applyProtection="0"/>
    <xf numFmtId="0" fontId="28" fillId="9" borderId="8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0" applyNumberFormat="0" applyFill="0" applyAlignment="0" applyProtection="0"/>
    <xf numFmtId="0" fontId="3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2" fillId="30" borderId="0" applyNumberFormat="0" applyBorder="0" applyAlignment="0" applyProtection="0"/>
    <xf numFmtId="0" fontId="3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2" fillId="34" borderId="0" applyNumberFormat="0" applyBorder="0" applyAlignment="0" applyProtection="0"/>
    <xf numFmtId="0" fontId="3" fillId="0" borderId="0"/>
    <xf numFmtId="0" fontId="11" fillId="0" borderId="0"/>
    <xf numFmtId="0" fontId="3" fillId="10" borderId="9" applyNumberFormat="0" applyFont="0" applyAlignment="0" applyProtection="0"/>
    <xf numFmtId="0" fontId="11" fillId="0" borderId="0"/>
    <xf numFmtId="164" fontId="11" fillId="0" borderId="0" applyFont="0" applyFill="0" applyBorder="0" applyAlignment="0" applyProtection="0"/>
    <xf numFmtId="0" fontId="3" fillId="0" borderId="0"/>
    <xf numFmtId="164" fontId="11" fillId="0" borderId="0" applyFont="0" applyFill="0" applyBorder="0" applyAlignment="0" applyProtection="0"/>
    <xf numFmtId="0" fontId="33" fillId="0" borderId="0"/>
    <xf numFmtId="0" fontId="3" fillId="0" borderId="0"/>
    <xf numFmtId="165" fontId="11" fillId="0" borderId="0" applyFont="0" applyFill="0" applyBorder="0" applyAlignment="0" applyProtection="0"/>
    <xf numFmtId="0" fontId="34" fillId="0" borderId="0" applyNumberFormat="0" applyFill="0" applyBorder="0" applyAlignment="0" applyProtection="0">
      <alignment vertical="center"/>
    </xf>
    <xf numFmtId="0" fontId="12" fillId="0" borderId="0"/>
    <xf numFmtId="165" fontId="12" fillId="0" borderId="0" applyFont="0" applyFill="0" applyBorder="0" applyAlignment="0" applyProtection="0"/>
    <xf numFmtId="0" fontId="11" fillId="0" borderId="0"/>
    <xf numFmtId="0" fontId="1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4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1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7">
    <xf numFmtId="0" fontId="0" fillId="0" borderId="0" xfId="0" applyAlignment="1">
      <alignment vertical="top"/>
    </xf>
    <xf numFmtId="0" fontId="0" fillId="0" borderId="0" xfId="0" applyAlignment="1">
      <alignment vertical="top"/>
    </xf>
    <xf numFmtId="0" fontId="35" fillId="0" borderId="0" xfId="0" applyFont="1" applyAlignment="1">
      <alignment vertical="top"/>
    </xf>
    <xf numFmtId="0" fontId="0" fillId="0" borderId="11" xfId="0" applyBorder="1" applyAlignment="1">
      <alignment vertical="top"/>
    </xf>
    <xf numFmtId="0" fontId="0" fillId="0" borderId="11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/>
    <xf numFmtId="166" fontId="0" fillId="0" borderId="11" xfId="0" applyNumberFormat="1" applyBorder="1" applyAlignment="1">
      <alignment vertical="top"/>
    </xf>
    <xf numFmtId="0" fontId="0" fillId="0" borderId="0" xfId="0" applyFill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 vertical="center"/>
    </xf>
    <xf numFmtId="0" fontId="39" fillId="37" borderId="11" xfId="0" applyFont="1" applyFill="1" applyBorder="1" applyAlignment="1">
      <alignment vertical="top"/>
    </xf>
    <xf numFmtId="0" fontId="39" fillId="37" borderId="12" xfId="0" applyFont="1" applyFill="1" applyBorder="1" applyAlignment="1">
      <alignment vertical="top"/>
    </xf>
    <xf numFmtId="0" fontId="39" fillId="37" borderId="13" xfId="0" applyFont="1" applyFill="1" applyBorder="1" applyAlignment="1">
      <alignment vertical="top"/>
    </xf>
    <xf numFmtId="0" fontId="39" fillId="37" borderId="14" xfId="0" applyFont="1" applyFill="1" applyBorder="1" applyAlignment="1">
      <alignment horizontal="center" vertical="center" wrapText="1"/>
    </xf>
    <xf numFmtId="0" fontId="39" fillId="37" borderId="15" xfId="0" applyFont="1" applyFill="1" applyBorder="1" applyAlignment="1">
      <alignment horizontal="center" vertical="center" wrapText="1"/>
    </xf>
    <xf numFmtId="166" fontId="40" fillId="37" borderId="11" xfId="0" applyNumberFormat="1" applyFont="1" applyFill="1" applyBorder="1" applyAlignment="1">
      <alignment vertical="top"/>
    </xf>
    <xf numFmtId="0" fontId="40" fillId="37" borderId="11" xfId="0" applyFont="1" applyFill="1" applyBorder="1" applyAlignment="1">
      <alignment vertical="top"/>
    </xf>
    <xf numFmtId="0" fontId="40" fillId="37" borderId="11" xfId="0" applyFont="1" applyFill="1" applyBorder="1" applyAlignment="1">
      <alignment vertical="top" wrapText="1"/>
    </xf>
    <xf numFmtId="0" fontId="40" fillId="37" borderId="11" xfId="0" applyNumberFormat="1" applyFont="1" applyFill="1" applyBorder="1" applyAlignment="1">
      <alignment vertical="top"/>
    </xf>
    <xf numFmtId="18" fontId="16" fillId="2" borderId="1" xfId="0" applyNumberFormat="1" applyFont="1" applyFill="1" applyBorder="1" applyAlignment="1">
      <alignment horizontal="center" vertical="center" wrapText="1"/>
    </xf>
    <xf numFmtId="1" fontId="1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6" fillId="2" borderId="1" xfId="0" applyFont="1" applyFill="1" applyBorder="1" applyAlignment="1">
      <alignment horizontal="center" vertical="center" wrapText="1"/>
    </xf>
    <xf numFmtId="4" fontId="16" fillId="2" borderId="1" xfId="0" applyNumberFormat="1" applyFont="1" applyFill="1" applyBorder="1" applyAlignment="1">
      <alignment horizontal="center" vertical="center" wrapText="1"/>
    </xf>
    <xf numFmtId="14" fontId="16" fillId="2" borderId="1" xfId="0" applyNumberFormat="1" applyFont="1" applyFill="1" applyBorder="1" applyAlignment="1">
      <alignment horizontal="center" vertical="center" wrapText="1"/>
    </xf>
    <xf numFmtId="0" fontId="16" fillId="39" borderId="1" xfId="0" applyFont="1" applyFill="1" applyBorder="1" applyAlignment="1">
      <alignment horizontal="center" vertical="center"/>
    </xf>
    <xf numFmtId="0" fontId="16" fillId="38" borderId="1" xfId="0" applyFont="1" applyFill="1" applyBorder="1" applyAlignment="1">
      <alignment horizontal="center" vertical="center"/>
    </xf>
    <xf numFmtId="166" fontId="16" fillId="3" borderId="1" xfId="120" applyNumberFormat="1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35" borderId="0" xfId="0" applyFill="1" applyAlignment="1">
      <alignment horizontal="center" vertical="center"/>
    </xf>
    <xf numFmtId="166" fontId="0" fillId="0" borderId="0" xfId="120" applyNumberFormat="1" applyFont="1" applyAlignment="1">
      <alignment horizontal="center" vertical="center"/>
    </xf>
    <xf numFmtId="167" fontId="11" fillId="0" borderId="0" xfId="0" applyNumberFormat="1" applyFont="1" applyAlignment="1">
      <alignment horizontal="center" vertical="center"/>
    </xf>
    <xf numFmtId="0" fontId="0" fillId="0" borderId="11" xfId="0" applyBorder="1" applyAlignment="1">
      <alignment horizontal="left" vertical="top"/>
    </xf>
    <xf numFmtId="0" fontId="40" fillId="37" borderId="11" xfId="0" applyFont="1" applyFill="1" applyBorder="1" applyAlignment="1">
      <alignment horizontal="left" vertical="top"/>
    </xf>
    <xf numFmtId="0" fontId="16" fillId="2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120" applyNumberFormat="1" applyFont="1" applyAlignment="1">
      <alignment horizontal="center" vertical="center"/>
    </xf>
    <xf numFmtId="0" fontId="0" fillId="0" borderId="0" xfId="0" applyAlignment="1">
      <alignment horizontal="left" vertical="top"/>
    </xf>
    <xf numFmtId="0" fontId="41" fillId="36" borderId="16" xfId="0" applyFont="1" applyFill="1" applyBorder="1" applyAlignment="1">
      <alignment horizontal="center" vertical="center"/>
    </xf>
    <xf numFmtId="0" fontId="41" fillId="36" borderId="17" xfId="0" applyFont="1" applyFill="1" applyBorder="1" applyAlignment="1">
      <alignment horizontal="center" vertical="center"/>
    </xf>
    <xf numFmtId="0" fontId="41" fillId="36" borderId="18" xfId="0" applyFont="1" applyFill="1" applyBorder="1" applyAlignment="1">
      <alignment horizontal="center" vertical="center"/>
    </xf>
  </cellXfs>
  <cellStyles count="315">
    <cellStyle name="20% - akcent 1" xfId="88" builtinId="30" customBuiltin="1"/>
    <cellStyle name="20% - akcent 2" xfId="92" builtinId="34" customBuiltin="1"/>
    <cellStyle name="20% - akcent 3" xfId="96" builtinId="38" customBuiltin="1"/>
    <cellStyle name="20% - akcent 4" xfId="100" builtinId="42" customBuiltin="1"/>
    <cellStyle name="20% - akcent 5" xfId="104" builtinId="46" customBuiltin="1"/>
    <cellStyle name="20% - akcent 6" xfId="108" builtinId="50" customBuiltin="1"/>
    <cellStyle name="40% - akcent 1" xfId="89" builtinId="31" customBuiltin="1"/>
    <cellStyle name="40% - akcent 2" xfId="93" builtinId="35" customBuiltin="1"/>
    <cellStyle name="40% - akcent 3" xfId="97" builtinId="39" customBuiltin="1"/>
    <cellStyle name="40% - akcent 4" xfId="101" builtinId="43" customBuiltin="1"/>
    <cellStyle name="40% - akcent 5" xfId="105" builtinId="47" customBuiltin="1"/>
    <cellStyle name="40% - akcent 6" xfId="109" builtinId="51" customBuiltin="1"/>
    <cellStyle name="60% - akcent 1" xfId="90" builtinId="32" customBuiltin="1"/>
    <cellStyle name="60% - akcent 2" xfId="94" builtinId="36" customBuiltin="1"/>
    <cellStyle name="60% - akcent 3" xfId="98" builtinId="40" customBuiltin="1"/>
    <cellStyle name="60% - akcent 4" xfId="102" builtinId="44" customBuiltin="1"/>
    <cellStyle name="60% - akcent 5" xfId="106" builtinId="48" customBuiltin="1"/>
    <cellStyle name="60% - akcent 6" xfId="110" builtinId="52" customBuiltin="1"/>
    <cellStyle name="Akcent 1" xfId="87" builtinId="29" customBuiltin="1"/>
    <cellStyle name="Akcent 2" xfId="91" builtinId="33" customBuiltin="1"/>
    <cellStyle name="Akcent 3" xfId="95" builtinId="37" customBuiltin="1"/>
    <cellStyle name="Akcent 4" xfId="99" builtinId="41" customBuiltin="1"/>
    <cellStyle name="Akcent 5" xfId="103" builtinId="45" customBuiltin="1"/>
    <cellStyle name="Akcent 6" xfId="107" builtinId="49" customBuiltin="1"/>
    <cellStyle name="Comma 2" xfId="117"/>
    <cellStyle name="Comma 3" xfId="115"/>
    <cellStyle name="Comma 4" xfId="120"/>
    <cellStyle name="Comma 4 2" xfId="123"/>
    <cellStyle name="Dane wejściowe" xfId="79" builtinId="20" customBuiltin="1"/>
    <cellStyle name="Dane wyjściowe" xfId="80" builtinId="21" customBuiltin="1"/>
    <cellStyle name="Dobre" xfId="76" builtinId="26" customBuiltin="1"/>
    <cellStyle name="Hyperlink 2" xfId="54"/>
    <cellStyle name="Hyperlink 2 2" xfId="169"/>
    <cellStyle name="Hyperlink 2 3" xfId="121"/>
    <cellStyle name="Komórka połączona" xfId="82" builtinId="24" customBuiltin="1"/>
    <cellStyle name="Komórka zaznaczona" xfId="83" builtinId="23" customBuiltin="1"/>
    <cellStyle name="Nagłówek 1" xfId="72" builtinId="16" customBuiltin="1"/>
    <cellStyle name="Nagłówek 2" xfId="73" builtinId="17" customBuiltin="1"/>
    <cellStyle name="Nagłówek 3" xfId="74" builtinId="18" customBuiltin="1"/>
    <cellStyle name="Nagłówek 4" xfId="75" builtinId="19" customBuiltin="1"/>
    <cellStyle name="Neutralne" xfId="78" builtinId="28" customBuiltin="1"/>
    <cellStyle name="Normal 2" xfId="3"/>
    <cellStyle name="Normal 2 2" xfId="1"/>
    <cellStyle name="Normal 2 2 2" xfId="125"/>
    <cellStyle name="Normal 2 2 3" xfId="118"/>
    <cellStyle name="Normal 2 3" xfId="5"/>
    <cellStyle name="Normal 2 3 2" xfId="6"/>
    <cellStyle name="Normal 2 3 2 2" xfId="14"/>
    <cellStyle name="Normal 2 4" xfId="7"/>
    <cellStyle name="Normal 2 5" xfId="191"/>
    <cellStyle name="Normal 3" xfId="2"/>
    <cellStyle name="Normal 3 2" xfId="10"/>
    <cellStyle name="Normal 3 2 2" xfId="17"/>
    <cellStyle name="Normal 3 2 2 2" xfId="32"/>
    <cellStyle name="Normal 3 2 2 2 2" xfId="63"/>
    <cellStyle name="Normal 3 2 2 2 2 2" xfId="178"/>
    <cellStyle name="Normal 3 2 2 2 2 3" xfId="244"/>
    <cellStyle name="Normal 3 2 2 2 2 4" xfId="308"/>
    <cellStyle name="Normal 3 2 2 2 3" xfId="147"/>
    <cellStyle name="Normal 3 2 2 2 4" xfId="214"/>
    <cellStyle name="Normal 3 2 2 2 5" xfId="278"/>
    <cellStyle name="Normal 3 2 2 3" xfId="47"/>
    <cellStyle name="Normal 3 2 2 3 2" xfId="162"/>
    <cellStyle name="Normal 3 2 2 3 3" xfId="229"/>
    <cellStyle name="Normal 3 2 2 3 4" xfId="293"/>
    <cellStyle name="Normal 3 2 2 4" xfId="132"/>
    <cellStyle name="Normal 3 2 2 5" xfId="199"/>
    <cellStyle name="Normal 3 2 2 6" xfId="263"/>
    <cellStyle name="Normal 3 2 3" xfId="22"/>
    <cellStyle name="Normal 3 2 3 2" xfId="37"/>
    <cellStyle name="Normal 3 2 3 2 2" xfId="68"/>
    <cellStyle name="Normal 3 2 3 2 2 2" xfId="183"/>
    <cellStyle name="Normal 3 2 3 2 2 3" xfId="249"/>
    <cellStyle name="Normal 3 2 3 2 2 4" xfId="313"/>
    <cellStyle name="Normal 3 2 3 2 3" xfId="152"/>
    <cellStyle name="Normal 3 2 3 2 4" xfId="219"/>
    <cellStyle name="Normal 3 2 3 2 5" xfId="283"/>
    <cellStyle name="Normal 3 2 3 3" xfId="52"/>
    <cellStyle name="Normal 3 2 3 3 2" xfId="167"/>
    <cellStyle name="Normal 3 2 3 3 3" xfId="234"/>
    <cellStyle name="Normal 3 2 3 3 4" xfId="298"/>
    <cellStyle name="Normal 3 2 3 4" xfId="137"/>
    <cellStyle name="Normal 3 2 3 5" xfId="204"/>
    <cellStyle name="Normal 3 2 3 6" xfId="268"/>
    <cellStyle name="Normal 3 2 4" xfId="27"/>
    <cellStyle name="Normal 3 2 4 2" xfId="58"/>
    <cellStyle name="Normal 3 2 4 2 2" xfId="173"/>
    <cellStyle name="Normal 3 2 4 2 3" xfId="239"/>
    <cellStyle name="Normal 3 2 4 2 4" xfId="303"/>
    <cellStyle name="Normal 3 2 4 3" xfId="142"/>
    <cellStyle name="Normal 3 2 4 4" xfId="209"/>
    <cellStyle name="Normal 3 2 4 5" xfId="273"/>
    <cellStyle name="Normal 3 2 5" xfId="42"/>
    <cellStyle name="Normal 3 2 5 2" xfId="157"/>
    <cellStyle name="Normal 3 2 5 3" xfId="224"/>
    <cellStyle name="Normal 3 2 5 4" xfId="288"/>
    <cellStyle name="Normal 3 2 6" xfId="127"/>
    <cellStyle name="Normal 3 2 7" xfId="194"/>
    <cellStyle name="Normal 3 2 8" xfId="258"/>
    <cellStyle name="Normal 3 3" xfId="12"/>
    <cellStyle name="Normal 3 3 2" xfId="29"/>
    <cellStyle name="Normal 3 3 2 2" xfId="60"/>
    <cellStyle name="Normal 3 3 2 2 2" xfId="175"/>
    <cellStyle name="Normal 3 3 2 2 3" xfId="241"/>
    <cellStyle name="Normal 3 3 2 2 4" xfId="305"/>
    <cellStyle name="Normal 3 3 2 3" xfId="144"/>
    <cellStyle name="Normal 3 3 2 4" xfId="211"/>
    <cellStyle name="Normal 3 3 2 5" xfId="275"/>
    <cellStyle name="Normal 3 3 3" xfId="44"/>
    <cellStyle name="Normal 3 3 3 2" xfId="159"/>
    <cellStyle name="Normal 3 3 3 3" xfId="226"/>
    <cellStyle name="Normal 3 3 3 4" xfId="290"/>
    <cellStyle name="Normal 3 3 4" xfId="129"/>
    <cellStyle name="Normal 3 3 5" xfId="196"/>
    <cellStyle name="Normal 3 3 6" xfId="260"/>
    <cellStyle name="Normal 3 4" xfId="19"/>
    <cellStyle name="Normal 3 4 2" xfId="34"/>
    <cellStyle name="Normal 3 4 2 2" xfId="65"/>
    <cellStyle name="Normal 3 4 2 2 2" xfId="180"/>
    <cellStyle name="Normal 3 4 2 2 3" xfId="246"/>
    <cellStyle name="Normal 3 4 2 2 4" xfId="310"/>
    <cellStyle name="Normal 3 4 2 3" xfId="149"/>
    <cellStyle name="Normal 3 4 2 4" xfId="216"/>
    <cellStyle name="Normal 3 4 2 5" xfId="280"/>
    <cellStyle name="Normal 3 4 3" xfId="49"/>
    <cellStyle name="Normal 3 4 3 2" xfId="164"/>
    <cellStyle name="Normal 3 4 3 3" xfId="231"/>
    <cellStyle name="Normal 3 4 3 4" xfId="295"/>
    <cellStyle name="Normal 3 4 4" xfId="134"/>
    <cellStyle name="Normal 3 4 5" xfId="201"/>
    <cellStyle name="Normal 3 4 6" xfId="265"/>
    <cellStyle name="Normal 3 5" xfId="24"/>
    <cellStyle name="Normal 3 5 2" xfId="55"/>
    <cellStyle name="Normal 3 5 2 2" xfId="170"/>
    <cellStyle name="Normal 3 5 2 3" xfId="236"/>
    <cellStyle name="Normal 3 5 2 4" xfId="300"/>
    <cellStyle name="Normal 3 5 3" xfId="139"/>
    <cellStyle name="Normal 3 5 4" xfId="206"/>
    <cellStyle name="Normal 3 5 5" xfId="270"/>
    <cellStyle name="Normal 3 6" xfId="39"/>
    <cellStyle name="Normal 3 6 2" xfId="154"/>
    <cellStyle name="Normal 3 6 3" xfId="221"/>
    <cellStyle name="Normal 3 6 4" xfId="285"/>
    <cellStyle name="Normal 3 7" xfId="116"/>
    <cellStyle name="Normal 3 7 2" xfId="190"/>
    <cellStyle name="Normal 3 7 3" xfId="255"/>
    <cellStyle name="Normal 3 8" xfId="185"/>
    <cellStyle name="Normal 3 9" xfId="251"/>
    <cellStyle name="Normal 4" xfId="4"/>
    <cellStyle name="Normal 4 2" xfId="11"/>
    <cellStyle name="Normal 4 2 2" xfId="18"/>
    <cellStyle name="Normal 4 2 2 2" xfId="33"/>
    <cellStyle name="Normal 4 2 2 2 2" xfId="64"/>
    <cellStyle name="Normal 4 2 2 2 2 2" xfId="179"/>
    <cellStyle name="Normal 4 2 2 2 2 3" xfId="245"/>
    <cellStyle name="Normal 4 2 2 2 2 4" xfId="309"/>
    <cellStyle name="Normal 4 2 2 2 3" xfId="148"/>
    <cellStyle name="Normal 4 2 2 2 4" xfId="215"/>
    <cellStyle name="Normal 4 2 2 2 5" xfId="279"/>
    <cellStyle name="Normal 4 2 2 3" xfId="48"/>
    <cellStyle name="Normal 4 2 2 3 2" xfId="163"/>
    <cellStyle name="Normal 4 2 2 3 3" xfId="230"/>
    <cellStyle name="Normal 4 2 2 3 4" xfId="294"/>
    <cellStyle name="Normal 4 2 2 4" xfId="133"/>
    <cellStyle name="Normal 4 2 2 5" xfId="200"/>
    <cellStyle name="Normal 4 2 2 6" xfId="264"/>
    <cellStyle name="Normal 4 2 3" xfId="23"/>
    <cellStyle name="Normal 4 2 3 2" xfId="38"/>
    <cellStyle name="Normal 4 2 3 2 2" xfId="69"/>
    <cellStyle name="Normal 4 2 3 2 2 2" xfId="184"/>
    <cellStyle name="Normal 4 2 3 2 2 3" xfId="250"/>
    <cellStyle name="Normal 4 2 3 2 2 4" xfId="314"/>
    <cellStyle name="Normal 4 2 3 2 3" xfId="153"/>
    <cellStyle name="Normal 4 2 3 2 4" xfId="220"/>
    <cellStyle name="Normal 4 2 3 2 5" xfId="284"/>
    <cellStyle name="Normal 4 2 3 3" xfId="53"/>
    <cellStyle name="Normal 4 2 3 3 2" xfId="168"/>
    <cellStyle name="Normal 4 2 3 3 3" xfId="235"/>
    <cellStyle name="Normal 4 2 3 3 4" xfId="299"/>
    <cellStyle name="Normal 4 2 3 4" xfId="138"/>
    <cellStyle name="Normal 4 2 3 5" xfId="205"/>
    <cellStyle name="Normal 4 2 3 6" xfId="269"/>
    <cellStyle name="Normal 4 2 4" xfId="28"/>
    <cellStyle name="Normal 4 2 4 2" xfId="59"/>
    <cellStyle name="Normal 4 2 4 2 2" xfId="174"/>
    <cellStyle name="Normal 4 2 4 2 3" xfId="240"/>
    <cellStyle name="Normal 4 2 4 2 4" xfId="304"/>
    <cellStyle name="Normal 4 2 4 3" xfId="143"/>
    <cellStyle name="Normal 4 2 4 4" xfId="210"/>
    <cellStyle name="Normal 4 2 4 5" xfId="274"/>
    <cellStyle name="Normal 4 2 5" xfId="43"/>
    <cellStyle name="Normal 4 2 5 2" xfId="158"/>
    <cellStyle name="Normal 4 2 5 3" xfId="225"/>
    <cellStyle name="Normal 4 2 5 4" xfId="289"/>
    <cellStyle name="Normal 4 2 6" xfId="128"/>
    <cellStyle name="Normal 4 2 7" xfId="195"/>
    <cellStyle name="Normal 4 2 8" xfId="259"/>
    <cellStyle name="Normal 4 3" xfId="13"/>
    <cellStyle name="Normal 4 3 2" xfId="30"/>
    <cellStyle name="Normal 4 3 2 2" xfId="61"/>
    <cellStyle name="Normal 4 3 2 2 2" xfId="176"/>
    <cellStyle name="Normal 4 3 2 2 3" xfId="242"/>
    <cellStyle name="Normal 4 3 2 2 4" xfId="306"/>
    <cellStyle name="Normal 4 3 2 3" xfId="145"/>
    <cellStyle name="Normal 4 3 2 4" xfId="212"/>
    <cellStyle name="Normal 4 3 2 5" xfId="276"/>
    <cellStyle name="Normal 4 3 3" xfId="45"/>
    <cellStyle name="Normal 4 3 3 2" xfId="160"/>
    <cellStyle name="Normal 4 3 3 3" xfId="227"/>
    <cellStyle name="Normal 4 3 3 4" xfId="291"/>
    <cellStyle name="Normal 4 3 4" xfId="130"/>
    <cellStyle name="Normal 4 3 5" xfId="197"/>
    <cellStyle name="Normal 4 3 6" xfId="261"/>
    <cellStyle name="Normal 4 4" xfId="20"/>
    <cellStyle name="Normal 4 4 2" xfId="35"/>
    <cellStyle name="Normal 4 4 2 2" xfId="66"/>
    <cellStyle name="Normal 4 4 2 2 2" xfId="181"/>
    <cellStyle name="Normal 4 4 2 2 3" xfId="247"/>
    <cellStyle name="Normal 4 4 2 2 4" xfId="311"/>
    <cellStyle name="Normal 4 4 2 3" xfId="150"/>
    <cellStyle name="Normal 4 4 2 4" xfId="217"/>
    <cellStyle name="Normal 4 4 2 5" xfId="281"/>
    <cellStyle name="Normal 4 4 3" xfId="50"/>
    <cellStyle name="Normal 4 4 3 2" xfId="165"/>
    <cellStyle name="Normal 4 4 3 3" xfId="232"/>
    <cellStyle name="Normal 4 4 3 4" xfId="296"/>
    <cellStyle name="Normal 4 4 4" xfId="135"/>
    <cellStyle name="Normal 4 4 5" xfId="202"/>
    <cellStyle name="Normal 4 4 6" xfId="266"/>
    <cellStyle name="Normal 4 5" xfId="25"/>
    <cellStyle name="Normal 4 5 2" xfId="56"/>
    <cellStyle name="Normal 4 5 2 2" xfId="171"/>
    <cellStyle name="Normal 4 5 2 3" xfId="237"/>
    <cellStyle name="Normal 4 5 2 4" xfId="301"/>
    <cellStyle name="Normal 4 5 3" xfId="140"/>
    <cellStyle name="Normal 4 5 4" xfId="207"/>
    <cellStyle name="Normal 4 5 5" xfId="271"/>
    <cellStyle name="Normal 4 6" xfId="40"/>
    <cellStyle name="Normal 4 6 2" xfId="155"/>
    <cellStyle name="Normal 4 6 3" xfId="222"/>
    <cellStyle name="Normal 4 6 4" xfId="286"/>
    <cellStyle name="Normal 4 7" xfId="119"/>
    <cellStyle name="Normal 4 7 2" xfId="192"/>
    <cellStyle name="Normal 4 7 3" xfId="256"/>
    <cellStyle name="Normal 4 8" xfId="186"/>
    <cellStyle name="Normal 4 9" xfId="252"/>
    <cellStyle name="Normal 5" xfId="9"/>
    <cellStyle name="Normal 5 2" xfId="16"/>
    <cellStyle name="Normal 5 2 2" xfId="31"/>
    <cellStyle name="Normal 5 2 2 2" xfId="62"/>
    <cellStyle name="Normal 5 2 2 2 2" xfId="177"/>
    <cellStyle name="Normal 5 2 2 2 3" xfId="243"/>
    <cellStyle name="Normal 5 2 2 2 4" xfId="307"/>
    <cellStyle name="Normal 5 2 2 3" xfId="146"/>
    <cellStyle name="Normal 5 2 2 4" xfId="213"/>
    <cellStyle name="Normal 5 2 2 5" xfId="277"/>
    <cellStyle name="Normal 5 2 3" xfId="46"/>
    <cellStyle name="Normal 5 2 3 2" xfId="161"/>
    <cellStyle name="Normal 5 2 3 3" xfId="228"/>
    <cellStyle name="Normal 5 2 3 4" xfId="292"/>
    <cellStyle name="Normal 5 2 4" xfId="131"/>
    <cellStyle name="Normal 5 2 5" xfId="122"/>
    <cellStyle name="Normal 5 2 6" xfId="198"/>
    <cellStyle name="Normal 5 2 7" xfId="262"/>
    <cellStyle name="Normal 5 3" xfId="21"/>
    <cellStyle name="Normal 5 3 2" xfId="36"/>
    <cellStyle name="Normal 5 3 2 2" xfId="67"/>
    <cellStyle name="Normal 5 3 2 2 2" xfId="182"/>
    <cellStyle name="Normal 5 3 2 2 3" xfId="248"/>
    <cellStyle name="Normal 5 3 2 2 4" xfId="312"/>
    <cellStyle name="Normal 5 3 2 3" xfId="151"/>
    <cellStyle name="Normal 5 3 2 4" xfId="218"/>
    <cellStyle name="Normal 5 3 2 5" xfId="282"/>
    <cellStyle name="Normal 5 3 3" xfId="51"/>
    <cellStyle name="Normal 5 3 3 2" xfId="166"/>
    <cellStyle name="Normal 5 3 3 3" xfId="233"/>
    <cellStyle name="Normal 5 3 3 4" xfId="297"/>
    <cellStyle name="Normal 5 3 4" xfId="136"/>
    <cellStyle name="Normal 5 3 5" xfId="203"/>
    <cellStyle name="Normal 5 3 6" xfId="267"/>
    <cellStyle name="Normal 5 4" xfId="26"/>
    <cellStyle name="Normal 5 4 2" xfId="57"/>
    <cellStyle name="Normal 5 4 2 2" xfId="172"/>
    <cellStyle name="Normal 5 4 2 3" xfId="238"/>
    <cellStyle name="Normal 5 4 2 4" xfId="302"/>
    <cellStyle name="Normal 5 4 3" xfId="141"/>
    <cellStyle name="Normal 5 4 4" xfId="208"/>
    <cellStyle name="Normal 5 4 5" xfId="272"/>
    <cellStyle name="Normal 5 5" xfId="41"/>
    <cellStyle name="Normal 5 5 2" xfId="156"/>
    <cellStyle name="Normal 5 5 3" xfId="223"/>
    <cellStyle name="Normal 5 5 4" xfId="287"/>
    <cellStyle name="Normal 5 6" xfId="126"/>
    <cellStyle name="Normal 5 6 2" xfId="193"/>
    <cellStyle name="Normal 5 6 3" xfId="257"/>
    <cellStyle name="Normal 5 7" xfId="114"/>
    <cellStyle name="Normal 5 8" xfId="187"/>
    <cellStyle name="Normal 5 9" xfId="253"/>
    <cellStyle name="Normal 6" xfId="70"/>
    <cellStyle name="Normal 6 2" xfId="112"/>
    <cellStyle name="Normal 7" xfId="124"/>
    <cellStyle name="Normal 7 2" xfId="189"/>
    <cellStyle name="Normal 8" xfId="111"/>
    <cellStyle name="Normal 8 2" xfId="188"/>
    <cellStyle name="Normal 8 3" xfId="254"/>
    <cellStyle name="Normal 9 2 2" xfId="8"/>
    <cellStyle name="Normal 9 2 2 2" xfId="15"/>
    <cellStyle name="Normalny" xfId="0" builtinId="0"/>
    <cellStyle name="Note 2" xfId="113"/>
    <cellStyle name="Obliczenia" xfId="81" builtinId="22" customBuiltin="1"/>
    <cellStyle name="Suma" xfId="86" builtinId="25" customBuiltin="1"/>
    <cellStyle name="Tekst objaśnienia" xfId="85" builtinId="53" customBuiltin="1"/>
    <cellStyle name="Tekst ostrzeżenia" xfId="84" builtinId="11" customBuiltin="1"/>
    <cellStyle name="Tytuł" xfId="71" builtinId="15" customBuiltin="1"/>
    <cellStyle name="Złe" xfId="77" builtinId="27" customBuiltin="1"/>
  </cellStyles>
  <dxfs count="117"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vertical/>
      </border>
    </dxf>
    <dxf>
      <border>
        <vertical/>
      </border>
    </dxf>
    <dxf>
      <border>
        <horizontal/>
      </border>
    </dxf>
    <dxf>
      <border>
        <horizontal/>
      </border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alignment wrapText="1" readingOrder="0"/>
    </dxf>
    <dxf>
      <alignment vertical="center" readingOrder="0"/>
    </dxf>
    <dxf>
      <alignment horizontal="center" readingOrder="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vertical/>
      </border>
    </dxf>
    <dxf>
      <border>
        <vertical/>
      </border>
    </dxf>
    <dxf>
      <border>
        <left style="thin">
          <color theme="0" tint="-0.24994659260841701"/>
        </left>
        <horizontal/>
      </border>
    </dxf>
    <dxf>
      <border>
        <left style="thin">
          <color theme="0" tint="-0.24994659260841701"/>
        </left>
        <horizontal/>
      </border>
    </dxf>
    <dxf>
      <numFmt numFmtId="166" formatCode="_-* #,##0_-;\-* #,##0_-;_-* &quot;-&quot;??_-;_-@_-"/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9" tint="0.39997558519241921"/>
        </patternFill>
      </fill>
    </dxf>
    <dxf>
      <fill>
        <patternFill>
          <bgColor theme="9"/>
        </patternFill>
      </fill>
    </dxf>
    <dxf>
      <font>
        <color theme="0"/>
      </font>
    </dxf>
    <dxf>
      <alignment wrapText="1" readingOrder="0"/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vertical/>
      </border>
    </dxf>
    <dxf>
      <border>
        <vertical/>
      </border>
    </dxf>
    <dxf>
      <border>
        <horizontal/>
      </border>
    </dxf>
    <dxf>
      <border>
        <horizontal/>
      </border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alignment wrapText="1" readingOrder="0"/>
    </dxf>
    <dxf>
      <alignment vertical="center" readingOrder="0"/>
    </dxf>
    <dxf>
      <alignment horizontal="center" readingOrder="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vertical/>
      </border>
    </dxf>
    <dxf>
      <border>
        <vertical/>
      </border>
    </dxf>
    <dxf>
      <border>
        <left style="thin">
          <color theme="0" tint="-0.24994659260841701"/>
        </left>
        <horizontal/>
      </border>
    </dxf>
    <dxf>
      <border>
        <left style="thin">
          <color theme="0" tint="-0.24994659260841701"/>
        </left>
        <horizontal/>
      </border>
    </dxf>
    <dxf>
      <numFmt numFmtId="166" formatCode="_-* #,##0_-;\-* #,##0_-;_-* &quot;-&quot;??_-;_-@_-"/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9" tint="0.39997558519241921"/>
        </patternFill>
      </fill>
    </dxf>
    <dxf>
      <fill>
        <patternFill>
          <bgColor theme="9"/>
        </patternFill>
      </fill>
    </dxf>
    <dxf>
      <font>
        <color theme="0"/>
      </font>
    </dxf>
    <dxf>
      <alignment wrapText="1" readingOrder="0"/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7</xdr:col>
      <xdr:colOff>9525</xdr:colOff>
      <xdr:row>7</xdr:row>
      <xdr:rowOff>127000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89F9C415-AA49-451C-9EA7-41BD5C4C33FD}"/>
            </a:ext>
          </a:extLst>
        </xdr:cNvPr>
        <xdr:cNvSpPr txBox="1"/>
      </xdr:nvSpPr>
      <xdr:spPr>
        <a:xfrm>
          <a:off x="611188" y="714375"/>
          <a:ext cx="3065462" cy="762000"/>
        </a:xfrm>
        <a:prstGeom prst="rect">
          <a:avLst/>
        </a:prstGeom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update rates in EX.RATES tab </a:t>
          </a:r>
          <a:r>
            <a:rPr lang="pl-PL" sz="1200" b="1"/>
            <a:t/>
          </a:r>
          <a:br>
            <a:rPr lang="pl-PL" sz="1200" b="1"/>
          </a:br>
          <a:r>
            <a:rPr lang="pl-PL" sz="1200" b="1"/>
            <a:t>in this workbook</a:t>
          </a:r>
          <a:r>
            <a:rPr lang="pl-PL" sz="1200" b="1" baseline="0"/>
            <a:t> </a:t>
          </a:r>
          <a:br>
            <a:rPr lang="pl-PL" sz="1200" b="1" baseline="0"/>
          </a:br>
          <a:r>
            <a:rPr lang="en-US" sz="1200" b="1"/>
            <a:t>(unhide </a:t>
          </a:r>
          <a:r>
            <a:rPr lang="pl-PL" sz="1200" b="1"/>
            <a:t>work</a:t>
          </a:r>
          <a:r>
            <a:rPr lang="en-US" sz="1200" b="1"/>
            <a:t>sheet and after changes hide it)</a:t>
          </a:r>
        </a:p>
      </xdr:txBody>
    </xdr:sp>
    <xdr:clientData/>
  </xdr:twoCellAnchor>
  <xdr:twoCellAnchor>
    <xdr:from>
      <xdr:col>4</xdr:col>
      <xdr:colOff>209550</xdr:colOff>
      <xdr:row>8</xdr:row>
      <xdr:rowOff>50800</xdr:rowOff>
    </xdr:from>
    <xdr:to>
      <xdr:col>4</xdr:col>
      <xdr:colOff>390525</xdr:colOff>
      <xdr:row>9</xdr:row>
      <xdr:rowOff>111125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xmlns="" id="{D591B3D4-2370-4854-B0A2-163CE394310C}"/>
            </a:ext>
          </a:extLst>
        </xdr:cNvPr>
        <xdr:cNvSpPr/>
      </xdr:nvSpPr>
      <xdr:spPr>
        <a:xfrm>
          <a:off x="2038350" y="1555750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190500</xdr:colOff>
      <xdr:row>23</xdr:row>
      <xdr:rowOff>87314</xdr:rowOff>
    </xdr:from>
    <xdr:to>
      <xdr:col>4</xdr:col>
      <xdr:colOff>412750</xdr:colOff>
      <xdr:row>25</xdr:row>
      <xdr:rowOff>111126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xmlns="" id="{204BC118-5774-4821-B7B6-E408F69D11FC}"/>
            </a:ext>
          </a:extLst>
        </xdr:cNvPr>
        <xdr:cNvSpPr/>
      </xdr:nvSpPr>
      <xdr:spPr>
        <a:xfrm>
          <a:off x="2635250" y="3976689"/>
          <a:ext cx="222250" cy="341312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73025</xdr:colOff>
      <xdr:row>33</xdr:row>
      <xdr:rowOff>14288</xdr:rowOff>
    </xdr:from>
    <xdr:to>
      <xdr:col>7</xdr:col>
      <xdr:colOff>82550</xdr:colOff>
      <xdr:row>37</xdr:row>
      <xdr:rowOff>96838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71E12502-BB79-43E1-870A-B7EAA08F7817}"/>
            </a:ext>
          </a:extLst>
        </xdr:cNvPr>
        <xdr:cNvSpPr txBox="1"/>
      </xdr:nvSpPr>
      <xdr:spPr>
        <a:xfrm>
          <a:off x="684213" y="4221163"/>
          <a:ext cx="3065462" cy="717550"/>
        </a:xfrm>
        <a:prstGeom prst="rect">
          <a:avLst/>
        </a:prstGeom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find contact person </a:t>
          </a:r>
          <a:r>
            <a:rPr lang="pl-PL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pl-PL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(base on previous file and country owner tab which is hided in this file)</a:t>
          </a:r>
          <a:r>
            <a:rPr lang="en-US" sz="1200" b="1"/>
            <a:t> </a:t>
          </a:r>
        </a:p>
      </xdr:txBody>
    </xdr:sp>
    <xdr:clientData/>
  </xdr:twoCellAnchor>
  <xdr:twoCellAnchor>
    <xdr:from>
      <xdr:col>2</xdr:col>
      <xdr:colOff>381000</xdr:colOff>
      <xdr:row>26</xdr:row>
      <xdr:rowOff>6350</xdr:rowOff>
    </xdr:from>
    <xdr:to>
      <xdr:col>6</xdr:col>
      <xdr:colOff>247650</xdr:colOff>
      <xdr:row>29</xdr:row>
      <xdr:rowOff>57150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D378B176-74FF-4DEE-8896-020DFBBD27F3}"/>
            </a:ext>
          </a:extLst>
        </xdr:cNvPr>
        <xdr:cNvSpPr txBox="1"/>
      </xdr:nvSpPr>
      <xdr:spPr>
        <a:xfrm>
          <a:off x="990600" y="3098800"/>
          <a:ext cx="230505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click button </a:t>
          </a:r>
          <a:r>
            <a:rPr lang="pl-PL" sz="1200" b="1"/>
            <a:t>to</a:t>
          </a:r>
          <a:r>
            <a:rPr lang="pl-PL" sz="1200" b="1" baseline="0"/>
            <a:t> prepare data for tab Blocked for payment_details)</a:t>
          </a:r>
          <a:endParaRPr lang="en-US" sz="1200" b="1"/>
        </a:p>
      </xdr:txBody>
    </xdr:sp>
    <xdr:clientData/>
  </xdr:twoCellAnchor>
  <xdr:twoCellAnchor>
    <xdr:from>
      <xdr:col>3</xdr:col>
      <xdr:colOff>55563</xdr:colOff>
      <xdr:row>29</xdr:row>
      <xdr:rowOff>134938</xdr:rowOff>
    </xdr:from>
    <xdr:to>
      <xdr:col>5</xdr:col>
      <xdr:colOff>588963</xdr:colOff>
      <xdr:row>32</xdr:row>
      <xdr:rowOff>77788</xdr:rowOff>
    </xdr:to>
    <xdr:sp macro="[0]!Macro1" textlink="">
      <xdr:nvSpPr>
        <xdr:cNvPr id="9" name="Oval 8">
          <a:extLst>
            <a:ext uri="{FF2B5EF4-FFF2-40B4-BE49-F238E27FC236}">
              <a16:creationId xmlns:a16="http://schemas.microsoft.com/office/drawing/2014/main" xmlns="" id="{3E39372D-ECBF-45C4-9A17-439C64C4CF65}"/>
            </a:ext>
          </a:extLst>
        </xdr:cNvPr>
        <xdr:cNvSpPr/>
      </xdr:nvSpPr>
      <xdr:spPr>
        <a:xfrm>
          <a:off x="1277938" y="3706813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357186</xdr:colOff>
      <xdr:row>39</xdr:row>
      <xdr:rowOff>134938</xdr:rowOff>
    </xdr:from>
    <xdr:to>
      <xdr:col>6</xdr:col>
      <xdr:colOff>223836</xdr:colOff>
      <xdr:row>43</xdr:row>
      <xdr:rowOff>26988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FF31A3B6-D05B-489C-AE51-F1B70C15A27E}"/>
            </a:ext>
          </a:extLst>
        </xdr:cNvPr>
        <xdr:cNvSpPr txBox="1"/>
      </xdr:nvSpPr>
      <xdr:spPr>
        <a:xfrm>
          <a:off x="968374" y="5294313"/>
          <a:ext cx="231140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click button </a:t>
          </a:r>
          <a:r>
            <a:rPr lang="pl-PL" sz="1200" b="1"/>
            <a:t>to</a:t>
          </a:r>
          <a:r>
            <a:rPr lang="pl-PL" sz="1200" b="1" baseline="0"/>
            <a:t> prepare data for tab Summary</a:t>
          </a:r>
          <a:endParaRPr lang="en-US" sz="1200" b="1"/>
        </a:p>
      </xdr:txBody>
    </xdr:sp>
    <xdr:clientData/>
  </xdr:twoCellAnchor>
  <xdr:twoCellAnchor>
    <xdr:from>
      <xdr:col>3</xdr:col>
      <xdr:colOff>63500</xdr:colOff>
      <xdr:row>43</xdr:row>
      <xdr:rowOff>95251</xdr:rowOff>
    </xdr:from>
    <xdr:to>
      <xdr:col>5</xdr:col>
      <xdr:colOff>596900</xdr:colOff>
      <xdr:row>46</xdr:row>
      <xdr:rowOff>38101</xdr:rowOff>
    </xdr:to>
    <xdr:sp macro="[0]!Macro2" textlink="">
      <xdr:nvSpPr>
        <xdr:cNvPr id="11" name="Oval 10">
          <a:extLst>
            <a:ext uri="{FF2B5EF4-FFF2-40B4-BE49-F238E27FC236}">
              <a16:creationId xmlns:a16="http://schemas.microsoft.com/office/drawing/2014/main" xmlns="" id="{CA87DE0B-9A23-4DA6-BA26-988CEDD58F22}"/>
            </a:ext>
          </a:extLst>
        </xdr:cNvPr>
        <xdr:cNvSpPr/>
      </xdr:nvSpPr>
      <xdr:spPr>
        <a:xfrm>
          <a:off x="1285875" y="5889626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190501</xdr:colOff>
      <xdr:row>46</xdr:row>
      <xdr:rowOff>95251</xdr:rowOff>
    </xdr:from>
    <xdr:to>
      <xdr:col>4</xdr:col>
      <xdr:colOff>371476</xdr:colOff>
      <xdr:row>47</xdr:row>
      <xdr:rowOff>155576</xdr:rowOff>
    </xdr:to>
    <xdr:sp macro="" textlink="">
      <xdr:nvSpPr>
        <xdr:cNvPr id="12" name="Arrow: Down 11">
          <a:extLst>
            <a:ext uri="{FF2B5EF4-FFF2-40B4-BE49-F238E27FC236}">
              <a16:creationId xmlns:a16="http://schemas.microsoft.com/office/drawing/2014/main" xmlns="" id="{D36D929C-C1FD-4033-8F1A-1C6C2448C583}"/>
            </a:ext>
          </a:extLst>
        </xdr:cNvPr>
        <xdr:cNvSpPr/>
      </xdr:nvSpPr>
      <xdr:spPr>
        <a:xfrm>
          <a:off x="2024064" y="6365876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198438</xdr:colOff>
      <xdr:row>38</xdr:row>
      <xdr:rowOff>7938</xdr:rowOff>
    </xdr:from>
    <xdr:to>
      <xdr:col>4</xdr:col>
      <xdr:colOff>379413</xdr:colOff>
      <xdr:row>39</xdr:row>
      <xdr:rowOff>68263</xdr:rowOff>
    </xdr:to>
    <xdr:sp macro="" textlink="">
      <xdr:nvSpPr>
        <xdr:cNvPr id="13" name="Arrow: Down 12">
          <a:extLst>
            <a:ext uri="{FF2B5EF4-FFF2-40B4-BE49-F238E27FC236}">
              <a16:creationId xmlns:a16="http://schemas.microsoft.com/office/drawing/2014/main" xmlns="" id="{093DD06B-7760-46F8-BD25-316A384195FA}"/>
            </a:ext>
          </a:extLst>
        </xdr:cNvPr>
        <xdr:cNvSpPr/>
      </xdr:nvSpPr>
      <xdr:spPr>
        <a:xfrm>
          <a:off x="2032001" y="5008563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31750</xdr:colOff>
      <xdr:row>51</xdr:row>
      <xdr:rowOff>150812</xdr:rowOff>
    </xdr:from>
    <xdr:to>
      <xdr:col>5</xdr:col>
      <xdr:colOff>565150</xdr:colOff>
      <xdr:row>54</xdr:row>
      <xdr:rowOff>93662</xdr:rowOff>
    </xdr:to>
    <xdr:sp macro="[0]!Macro3" textlink="">
      <xdr:nvSpPr>
        <xdr:cNvPr id="16" name="Oval 15">
          <a:extLst>
            <a:ext uri="{FF2B5EF4-FFF2-40B4-BE49-F238E27FC236}">
              <a16:creationId xmlns:a16="http://schemas.microsoft.com/office/drawing/2014/main" xmlns="" id="{DAC8F375-D146-4E5F-BD7D-C80DEC05D448}"/>
            </a:ext>
          </a:extLst>
        </xdr:cNvPr>
        <xdr:cNvSpPr/>
      </xdr:nvSpPr>
      <xdr:spPr>
        <a:xfrm>
          <a:off x="1254125" y="7215187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3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523876</xdr:colOff>
      <xdr:row>54</xdr:row>
      <xdr:rowOff>146982</xdr:rowOff>
    </xdr:from>
    <xdr:to>
      <xdr:col>5</xdr:col>
      <xdr:colOff>47626</xdr:colOff>
      <xdr:row>58</xdr:row>
      <xdr:rowOff>95403</xdr:rowOff>
    </xdr:to>
    <xdr:pic>
      <xdr:nvPicPr>
        <xdr:cNvPr id="8" name="Graphic 7" descr="Open envelope with solid fill">
          <a:extLst>
            <a:ext uri="{FF2B5EF4-FFF2-40B4-BE49-F238E27FC236}">
              <a16:creationId xmlns:a16="http://schemas.microsoft.com/office/drawing/2014/main" xmlns="" id="{62A9712B-FF11-40C8-AC06-CC9AE9C1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1746251" y="7687607"/>
          <a:ext cx="746125" cy="583421"/>
        </a:xfrm>
        <a:prstGeom prst="rect">
          <a:avLst/>
        </a:prstGeom>
      </xdr:spPr>
    </xdr:pic>
    <xdr:clientData/>
  </xdr:twoCellAnchor>
  <xdr:twoCellAnchor>
    <xdr:from>
      <xdr:col>2</xdr:col>
      <xdr:colOff>317500</xdr:colOff>
      <xdr:row>48</xdr:row>
      <xdr:rowOff>47625</xdr:rowOff>
    </xdr:from>
    <xdr:to>
      <xdr:col>6</xdr:col>
      <xdr:colOff>184150</xdr:colOff>
      <xdr:row>51</xdr:row>
      <xdr:rowOff>98425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xmlns="" id="{9B9F228B-19B1-4CA7-AF6B-18B80E2F2638}"/>
            </a:ext>
          </a:extLst>
        </xdr:cNvPr>
        <xdr:cNvSpPr txBox="1"/>
      </xdr:nvSpPr>
      <xdr:spPr>
        <a:xfrm>
          <a:off x="928688" y="6635750"/>
          <a:ext cx="231140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button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</a:t>
          </a: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prepare an e-mail</a:t>
          </a:r>
          <a:b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(Outlook must be open)</a:t>
          </a:r>
          <a:endParaRPr lang="en-US" sz="1400">
            <a:effectLst/>
          </a:endParaRPr>
        </a:p>
      </xdr:txBody>
    </xdr:sp>
    <xdr:clientData/>
  </xdr:twoCellAnchor>
  <xdr:twoCellAnchor>
    <xdr:from>
      <xdr:col>2</xdr:col>
      <xdr:colOff>15876</xdr:colOff>
      <xdr:row>10</xdr:row>
      <xdr:rowOff>31749</xdr:rowOff>
    </xdr:from>
    <xdr:to>
      <xdr:col>7</xdr:col>
      <xdr:colOff>25401</xdr:colOff>
      <xdr:row>17</xdr:row>
      <xdr:rowOff>63500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xmlns="" id="{1A3FC095-B8B3-4847-B219-DB5DBA4EE5BA}"/>
            </a:ext>
          </a:extLst>
        </xdr:cNvPr>
        <xdr:cNvSpPr txBox="1"/>
      </xdr:nvSpPr>
      <xdr:spPr>
        <a:xfrm>
          <a:off x="1238251" y="1857374"/>
          <a:ext cx="3065463" cy="114300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log in into SAP and click</a:t>
          </a: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button </a:t>
          </a:r>
          <a:b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</a:t>
          </a:r>
          <a:r>
            <a:rPr lang="en-US" sz="12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download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report from SAP t-code MRBR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 will be 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named EXPORT.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XLSX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save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on desktop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(don't make any modifications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the file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sz="1400">
            <a:effectLst/>
          </a:endParaRPr>
        </a:p>
      </xdr:txBody>
    </xdr:sp>
    <xdr:clientData/>
  </xdr:twoCellAnchor>
  <xdr:twoCellAnchor>
    <xdr:from>
      <xdr:col>0</xdr:col>
      <xdr:colOff>373063</xdr:colOff>
      <xdr:row>19</xdr:row>
      <xdr:rowOff>87314</xdr:rowOff>
    </xdr:from>
    <xdr:to>
      <xdr:col>4</xdr:col>
      <xdr:colOff>246061</xdr:colOff>
      <xdr:row>23</xdr:row>
      <xdr:rowOff>109538</xdr:rowOff>
    </xdr:to>
    <xdr:sp macro="[0]!SAPreport_BEP" textlink="">
      <xdr:nvSpPr>
        <xdr:cNvPr id="22" name="Oval 21">
          <a:extLst>
            <a:ext uri="{FF2B5EF4-FFF2-40B4-BE49-F238E27FC236}">
              <a16:creationId xmlns:a16="http://schemas.microsoft.com/office/drawing/2014/main" xmlns="" id="{A9903E6B-B4E4-4D94-ABA0-4EA3A19FCADE}"/>
            </a:ext>
          </a:extLst>
        </xdr:cNvPr>
        <xdr:cNvSpPr/>
      </xdr:nvSpPr>
      <xdr:spPr>
        <a:xfrm>
          <a:off x="373063" y="3341689"/>
          <a:ext cx="2317748" cy="657224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report</a:t>
          </a:r>
          <a:r>
            <a:rPr lang="pl-PL" sz="12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for BEP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325438</xdr:colOff>
      <xdr:row>19</xdr:row>
      <xdr:rowOff>119063</xdr:rowOff>
    </xdr:from>
    <xdr:to>
      <xdr:col>8</xdr:col>
      <xdr:colOff>182562</xdr:colOff>
      <xdr:row>24</xdr:row>
      <xdr:rowOff>7939</xdr:rowOff>
    </xdr:to>
    <xdr:sp macro="[0]!SAPreport_APAC_EuAfMe_US_CLAR" textlink="">
      <xdr:nvSpPr>
        <xdr:cNvPr id="25" name="Oval 24">
          <a:extLst>
            <a:ext uri="{FF2B5EF4-FFF2-40B4-BE49-F238E27FC236}">
              <a16:creationId xmlns:a16="http://schemas.microsoft.com/office/drawing/2014/main" xmlns="" id="{5A25F05D-3ACE-498A-B818-AE7F306DBF96}"/>
            </a:ext>
          </a:extLst>
        </xdr:cNvPr>
        <xdr:cNvSpPr/>
      </xdr:nvSpPr>
      <xdr:spPr>
        <a:xfrm>
          <a:off x="2770188" y="3373438"/>
          <a:ext cx="2301874" cy="682626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report</a:t>
          </a:r>
          <a:r>
            <a:rPr lang="pl-PL" sz="12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for APAC EuAfMeUS CLAR 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595795</xdr:colOff>
      <xdr:row>17</xdr:row>
      <xdr:rowOff>158263</xdr:rowOff>
    </xdr:from>
    <xdr:to>
      <xdr:col>5</xdr:col>
      <xdr:colOff>202443</xdr:colOff>
      <xdr:row>20</xdr:row>
      <xdr:rowOff>27815</xdr:rowOff>
    </xdr:to>
    <xdr:sp macro="" textlink="">
      <xdr:nvSpPr>
        <xdr:cNvPr id="18" name="Arrow: Down 17">
          <a:extLst>
            <a:ext uri="{FF2B5EF4-FFF2-40B4-BE49-F238E27FC236}">
              <a16:creationId xmlns:a16="http://schemas.microsoft.com/office/drawing/2014/main" xmlns="" id="{3FF054D8-C595-4E59-8A3B-476122FA9151}"/>
            </a:ext>
          </a:extLst>
        </xdr:cNvPr>
        <xdr:cNvSpPr/>
      </xdr:nvSpPr>
      <xdr:spPr>
        <a:xfrm rot="19140629">
          <a:off x="3040545" y="3095138"/>
          <a:ext cx="217836" cy="345802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420687</xdr:colOff>
      <xdr:row>17</xdr:row>
      <xdr:rowOff>142874</xdr:rowOff>
    </xdr:from>
    <xdr:to>
      <xdr:col>4</xdr:col>
      <xdr:colOff>27336</xdr:colOff>
      <xdr:row>20</xdr:row>
      <xdr:rowOff>12426</xdr:rowOff>
    </xdr:to>
    <xdr:sp macro="" textlink="">
      <xdr:nvSpPr>
        <xdr:cNvPr id="21" name="Arrow: Down 20">
          <a:extLst>
            <a:ext uri="{FF2B5EF4-FFF2-40B4-BE49-F238E27FC236}">
              <a16:creationId xmlns:a16="http://schemas.microsoft.com/office/drawing/2014/main" xmlns="" id="{71206CE8-CE0C-4F33-A807-B821DA2C9A85}"/>
            </a:ext>
          </a:extLst>
        </xdr:cNvPr>
        <xdr:cNvSpPr/>
      </xdr:nvSpPr>
      <xdr:spPr>
        <a:xfrm rot="2570809">
          <a:off x="2254250" y="3079749"/>
          <a:ext cx="217836" cy="345802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żytkownik systemu Windows" refreshedDate="45318.615848842594" createdVersion="3" refreshedVersion="4" minRefreshableVersion="3" recordCount="188">
  <cacheSource type="worksheet">
    <worksheetSource ref="A1:Z189" sheet="Blocked for payment_details"/>
  </cacheSource>
  <cacheFields count="26">
    <cacheField name="Cocd" numFmtId="0">
      <sharedItems containsNonDate="0" containsString="0" containsBlank="1"/>
    </cacheField>
    <cacheField name="Invoicing Party" numFmtId="0">
      <sharedItems containsNonDate="0" containsString="0" containsBlank="1"/>
    </cacheField>
    <cacheField name="Invoice Document No." numFmtId="0">
      <sharedItems containsNonDate="0" containsString="0" containsBlank="1"/>
    </cacheField>
    <cacheField name="Invoice Item" numFmtId="0">
      <sharedItems containsNonDate="0" containsString="0" containsBlank="1"/>
    </cacheField>
    <cacheField name="Amount" numFmtId="0">
      <sharedItems containsNonDate="0" containsString="0" containsBlank="1"/>
    </cacheField>
    <cacheField name="Currency" numFmtId="0">
      <sharedItems containsNonDate="0" containsString="0" containsBlank="1"/>
    </cacheField>
    <cacheField name="Posting Date" numFmtId="14">
      <sharedItems containsNonDate="0" containsString="0" containsBlank="1"/>
    </cacheField>
    <cacheField name="Purchasing Document" numFmtId="0">
      <sharedItems containsNonDate="0" containsString="0" containsBlank="1"/>
    </cacheField>
    <cacheField name="PO Item " numFmtId="0">
      <sharedItems containsNonDate="0" containsString="0" containsBlank="1"/>
    </cacheField>
    <cacheField name="PO+Item" numFmtId="0">
      <sharedItems containsBlank="1"/>
    </cacheField>
    <cacheField name="Material" numFmtId="0">
      <sharedItems containsNonDate="0" containsString="0" containsBlank="1"/>
    </cacheField>
    <cacheField name="Plant" numFmtId="0">
      <sharedItems containsNonDate="0" containsString="0" containsBlank="1"/>
    </cacheField>
    <cacheField name="Difference Quantity" numFmtId="0">
      <sharedItems containsNonDate="0" containsString="0" containsBlank="1"/>
    </cacheField>
    <cacheField name="Difference Value" numFmtId="0">
      <sharedItems containsNonDate="0" containsString="0" containsBlank="1"/>
    </cacheField>
    <cacheField name="Baseline Payment Dte" numFmtId="14">
      <sharedItems containsNonDate="0" containsString="0" containsBlank="1"/>
    </cacheField>
    <cacheField name="Days 1" numFmtId="0">
      <sharedItems containsNonDate="0" containsString="0" containsBlank="1"/>
    </cacheField>
    <cacheField name="Amount in USD" numFmtId="166">
      <sharedItems containsString="0" containsBlank="1" containsNumber="1" containsInteger="1" minValue="0" maxValue="0"/>
    </cacheField>
    <cacheField name="FX rate" numFmtId="167">
      <sharedItems containsNonDate="0" containsString="0" containsBlank="1"/>
    </cacheField>
    <cacheField name="Quanity check" numFmtId="1">
      <sharedItems containsBlank="1"/>
    </cacheField>
    <cacheField name="Price check" numFmtId="1">
      <sharedItems containsBlank="1"/>
    </cacheField>
    <cacheField name="Payment block reason" numFmtId="0">
      <sharedItems containsNonDate="0" containsBlank="1" count="3">
        <m/>
        <s v="LIV - Quantity Discrepancy" u="1"/>
        <s v="LIV - Price Discrepancy" u="1"/>
      </sharedItems>
    </cacheField>
    <cacheField name="Due date" numFmtId="14">
      <sharedItems containsNonDate="0" containsDate="1" containsString="0" containsBlank="1" minDate="1899-12-30T00:00:00" maxDate="1899-12-31T00:00:00"/>
    </cacheField>
    <cacheField name="Aging days" numFmtId="2">
      <sharedItems containsString="0" containsBlank="1" containsNumber="1" containsInteger="1" minValue="45318" maxValue="45318"/>
    </cacheField>
    <cacheField name="Aging" numFmtId="0">
      <sharedItems containsBlank="1"/>
    </cacheField>
    <cacheField name="Owner" numFmtId="0">
      <sharedItems containsNonDate="0" containsBlank="1" count="2">
        <m/>
        <s v="Kaur Bedi Ishmeet " u="1"/>
      </sharedItems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żytkownik systemu Windows" refreshedDate="45318.615949768522" createdVersion="3" refreshedVersion="4" minRefreshableVersion="3" recordCount="188">
  <cacheSource type="worksheet">
    <worksheetSource ref="A1:Z189" sheet="Blocked for payment_details"/>
  </cacheSource>
  <cacheFields count="26">
    <cacheField name="Cocd" numFmtId="0">
      <sharedItems containsNonDate="0" containsString="0" containsBlank="1"/>
    </cacheField>
    <cacheField name="Invoicing Party" numFmtId="0">
      <sharedItems containsNonDate="0" containsString="0" containsBlank="1"/>
    </cacheField>
    <cacheField name="Invoice Document No." numFmtId="0">
      <sharedItems containsNonDate="0" containsString="0" containsBlank="1"/>
    </cacheField>
    <cacheField name="Invoice Item" numFmtId="0">
      <sharedItems containsNonDate="0" containsString="0" containsBlank="1"/>
    </cacheField>
    <cacheField name="Amount" numFmtId="0">
      <sharedItems containsNonDate="0" containsString="0" containsBlank="1"/>
    </cacheField>
    <cacheField name="Currency" numFmtId="0">
      <sharedItems containsNonDate="0" containsString="0" containsBlank="1"/>
    </cacheField>
    <cacheField name="Posting Date" numFmtId="14">
      <sharedItems containsNonDate="0" containsString="0" containsBlank="1"/>
    </cacheField>
    <cacheField name="Purchasing Document" numFmtId="0">
      <sharedItems containsNonDate="0" containsString="0" containsBlank="1"/>
    </cacheField>
    <cacheField name="PO Item " numFmtId="0">
      <sharedItems containsNonDate="0" containsString="0" containsBlank="1"/>
    </cacheField>
    <cacheField name="PO+Item" numFmtId="0">
      <sharedItems containsBlank="1"/>
    </cacheField>
    <cacheField name="Material" numFmtId="0">
      <sharedItems containsNonDate="0" containsString="0" containsBlank="1"/>
    </cacheField>
    <cacheField name="Plant" numFmtId="0">
      <sharedItems containsNonDate="0" containsString="0" containsBlank="1"/>
    </cacheField>
    <cacheField name="Difference Quantity" numFmtId="0">
      <sharedItems containsNonDate="0" containsString="0" containsBlank="1"/>
    </cacheField>
    <cacheField name="Difference Value" numFmtId="0">
      <sharedItems containsNonDate="0" containsString="0" containsBlank="1"/>
    </cacheField>
    <cacheField name="Baseline Payment Dte" numFmtId="14">
      <sharedItems containsNonDate="0" containsString="0" containsBlank="1"/>
    </cacheField>
    <cacheField name="Days 1" numFmtId="0">
      <sharedItems containsNonDate="0" containsString="0" containsBlank="1"/>
    </cacheField>
    <cacheField name="Amount in USD" numFmtId="166">
      <sharedItems containsString="0" containsBlank="1" containsNumber="1" containsInteger="1" minValue="0" maxValue="0"/>
    </cacheField>
    <cacheField name="FX rate" numFmtId="167">
      <sharedItems containsNonDate="0" containsString="0" containsBlank="1"/>
    </cacheField>
    <cacheField name="Quanity check" numFmtId="1">
      <sharedItems containsBlank="1"/>
    </cacheField>
    <cacheField name="Price check" numFmtId="1">
      <sharedItems containsBlank="1"/>
    </cacheField>
    <cacheField name="Payment block reason" numFmtId="0">
      <sharedItems containsNonDate="0" containsString="0" containsBlank="1"/>
    </cacheField>
    <cacheField name="Due date" numFmtId="14">
      <sharedItems containsNonDate="0" containsDate="1" containsString="0" containsBlank="1" minDate="1899-12-30T00:00:00" maxDate="1899-12-31T00:00:00"/>
    </cacheField>
    <cacheField name="Aging days" numFmtId="2">
      <sharedItems containsString="0" containsBlank="1" containsNumber="1" containsInteger="1" minValue="45318" maxValue="45318"/>
    </cacheField>
    <cacheField name="Aging" numFmtId="0">
      <sharedItems containsBlank="1" count="6">
        <s v="[6] &gt;360 days"/>
        <m/>
        <s v="[2] 31-60 days" u="1"/>
        <s v="[4] 90-180 days" u="1"/>
        <s v="[0] Not due" u="1"/>
        <s v="[1] 1-30 days" u="1"/>
      </sharedItems>
    </cacheField>
    <cacheField name="Owner" numFmtId="0">
      <sharedItems containsNonDate="0" containsBlank="1" count="2">
        <m/>
        <s v="Kaur Bedi Ishmeet " u="1"/>
      </sharedItems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8">
  <r>
    <m/>
    <m/>
    <m/>
    <m/>
    <m/>
    <m/>
    <m/>
    <m/>
    <m/>
    <e v="#NAME?"/>
    <m/>
    <m/>
    <m/>
    <m/>
    <m/>
    <m/>
    <n v="0"/>
    <m/>
    <s v="-"/>
    <s v="-"/>
    <x v="0"/>
    <d v="1899-12-30T00:00:00"/>
    <n v="45318"/>
    <s v="[6] &gt;360 days"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  <r>
    <m/>
    <m/>
    <m/>
    <m/>
    <m/>
    <m/>
    <m/>
    <m/>
    <m/>
    <m/>
    <m/>
    <m/>
    <m/>
    <m/>
    <m/>
    <m/>
    <m/>
    <m/>
    <m/>
    <m/>
    <x v="0"/>
    <m/>
    <m/>
    <m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8">
  <r>
    <m/>
    <m/>
    <m/>
    <m/>
    <m/>
    <m/>
    <m/>
    <m/>
    <m/>
    <e v="#NAME?"/>
    <m/>
    <m/>
    <m/>
    <m/>
    <m/>
    <m/>
    <n v="0"/>
    <m/>
    <s v="-"/>
    <s v="-"/>
    <m/>
    <d v="1899-12-30T00:00:00"/>
    <n v="45318"/>
    <x v="0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  <r>
    <m/>
    <m/>
    <m/>
    <m/>
    <m/>
    <m/>
    <m/>
    <m/>
    <m/>
    <m/>
    <m/>
    <m/>
    <m/>
    <m/>
    <m/>
    <m/>
    <m/>
    <m/>
    <m/>
    <m/>
    <m/>
    <m/>
    <m/>
    <x v="1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 colHeaderCaption="Aging">
  <location ref="A17:D20" firstHeaderRow="1" firstDataRow="2" firstDataCol="1"/>
  <pivotFields count="26">
    <pivotField compact="0" outline="0" showAll="0"/>
    <pivotField compact="0" outline="0" showAll="0"/>
    <pivotField dataField="1" compact="0" outline="0" showAll="0"/>
    <pivotField compact="0" outline="0" showAll="0"/>
    <pivotField compact="0" numFmtId="2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2" outline="0" showAll="0"/>
    <pivotField compact="0" numFmtId="14" outline="0" showAll="0"/>
    <pivotField compact="0" numFmtId="1" outline="0" showAll="0"/>
    <pivotField compact="0" numFmtId="165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numFmtId="14" outline="0" showAll="0"/>
    <pivotField compact="0" numFmtId="2" outline="0" showAll="0"/>
    <pivotField axis="axisCol" compact="0" outline="0" showAll="0" sortType="ascending">
      <items count="7">
        <item m="1" x="4"/>
        <item m="1" x="5"/>
        <item m="1" x="2"/>
        <item m="1" x="3"/>
        <item x="0"/>
        <item x="1"/>
        <item t="default"/>
      </items>
    </pivotField>
    <pivotField axis="axisRow" compact="0" outline="0" showAll="0">
      <items count="3">
        <item x="0"/>
        <item n="x" m="1" x="1"/>
        <item t="default"/>
      </items>
    </pivotField>
    <pivotField compact="0" outline="0" showAll="0"/>
  </pivotFields>
  <rowFields count="1">
    <field x="24"/>
  </rowFields>
  <rowItems count="2">
    <i>
      <x/>
    </i>
    <i t="grand">
      <x/>
    </i>
  </rowItems>
  <colFields count="1">
    <field x="23"/>
  </colFields>
  <colItems count="3">
    <i>
      <x v="4"/>
    </i>
    <i>
      <x v="5"/>
    </i>
    <i t="grand">
      <x/>
    </i>
  </colItems>
  <dataFields count="1">
    <dataField name="Count of Invoice Document No." fld="2" subtotal="count" baseField="22" baseItem="1"/>
  </dataFields>
  <formats count="25">
    <format dxfId="57">
      <pivotArea type="origin" dataOnly="0" labelOnly="1" outline="0" fieldPosition="0"/>
    </format>
    <format dxfId="58">
      <pivotArea field="23" type="button" dataOnly="0" labelOnly="1" outline="0" axis="axisCol" fieldPosition="0"/>
    </format>
    <format dxfId="59">
      <pivotArea type="topRight" dataOnly="0" labelOnly="1" outline="0" fieldPosition="0"/>
    </format>
    <format dxfId="60">
      <pivotArea dataOnly="0" labelOnly="1" fieldPosition="0">
        <references count="1">
          <reference field="23" count="0"/>
        </references>
      </pivotArea>
    </format>
    <format dxfId="61">
      <pivotArea dataOnly="0" labelOnly="1" grandCol="1" outline="0" fieldPosition="0"/>
    </format>
    <format dxfId="62">
      <pivotArea type="all" dataOnly="0" outline="0" fieldPosition="0"/>
    </format>
    <format dxfId="63">
      <pivotArea field="23" type="button" dataOnly="0" labelOnly="1" outline="0" axis="axisCol" fieldPosition="0"/>
    </format>
    <format dxfId="64">
      <pivotArea type="topRight" dataOnly="0" labelOnly="1" outline="0" fieldPosition="0"/>
    </format>
    <format dxfId="65">
      <pivotArea type="topRight" dataOnly="0" labelOnly="1" outline="0" offset="C1" fieldPosition="0"/>
    </format>
    <format dxfId="66">
      <pivotArea dataOnly="0" labelOnly="1" grandCol="1" outline="0" fieldPosition="0"/>
    </format>
    <format dxfId="67">
      <pivotArea type="origin" dataOnly="0" labelOnly="1" outline="0" fieldPosition="0"/>
    </format>
    <format dxfId="68">
      <pivotArea field="23" type="button" dataOnly="0" labelOnly="1" outline="0" axis="axisCol" fieldPosition="0"/>
    </format>
    <format dxfId="69">
      <pivotArea type="topRight" dataOnly="0" labelOnly="1" outline="0" fieldPosition="0"/>
    </format>
    <format dxfId="70">
      <pivotArea dataOnly="0" labelOnly="1" fieldPosition="0">
        <references count="1">
          <reference field="23" count="0"/>
        </references>
      </pivotArea>
    </format>
    <format dxfId="71">
      <pivotArea dataOnly="0" labelOnly="1" grandCol="1" outline="0" fieldPosition="0"/>
    </format>
    <format dxfId="72">
      <pivotArea type="origin" dataOnly="0" labelOnly="1" outline="0" fieldPosition="0"/>
    </format>
    <format dxfId="73">
      <pivotArea field="23" type="button" dataOnly="0" labelOnly="1" outline="0" axis="axisCol" fieldPosition="0"/>
    </format>
    <format dxfId="74">
      <pivotArea type="topRight" dataOnly="0" labelOnly="1" outline="0" fieldPosition="0"/>
    </format>
    <format dxfId="75">
      <pivotArea dataOnly="0" labelOnly="1" fieldPosition="0">
        <references count="1">
          <reference field="23" count="0"/>
        </references>
      </pivotArea>
    </format>
    <format dxfId="76">
      <pivotArea dataOnly="0" labelOnly="1" grandCol="1" outline="0" fieldPosition="0"/>
    </format>
    <format dxfId="77">
      <pivotArea grandRow="1" outline="0" collapsedLevelsAreSubtotals="1" fieldPosition="0"/>
    </format>
    <format dxfId="78">
      <pivotArea dataOnly="0" labelOnly="1" grandRow="1" outline="0" fieldPosition="0"/>
    </format>
    <format dxfId="79">
      <pivotArea grandRow="1" outline="0" collapsedLevelsAreSubtotals="1" fieldPosition="0"/>
    </format>
    <format dxfId="80">
      <pivotArea dataOnly="0" labelOnly="1" grandRow="1" outline="0" fieldPosition="0"/>
    </format>
    <format dxfId="81">
      <pivotArea field="24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1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Owner" colHeaderCaption="R-block reason">
  <location ref="A3:E7" firstHeaderRow="1" firstDataRow="3" firstDataCol="1"/>
  <pivotFields count="26">
    <pivotField showAll="0"/>
    <pivotField showAll="0"/>
    <pivotField dataField="1" showAll="0"/>
    <pivotField showAll="0"/>
    <pivotField numFmtId="2"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numFmtId="2" showAll="0"/>
    <pivotField numFmtId="14" showAll="0"/>
    <pivotField numFmtId="1" showAll="0"/>
    <pivotField dataField="1" numFmtId="165" showAll="0" defaultSubtotal="0"/>
    <pivotField showAll="0" defaultSubtotal="0"/>
    <pivotField showAll="0"/>
    <pivotField showAll="0"/>
    <pivotField axis="axisCol" showAll="0">
      <items count="4">
        <item m="1" x="2"/>
        <item m="1" x="1"/>
        <item x="0"/>
        <item t="default"/>
      </items>
    </pivotField>
    <pivotField numFmtId="14" showAll="0"/>
    <pivotField numFmtId="2" showAll="0"/>
    <pivotField showAll="0"/>
    <pivotField axis="axisRow" showAll="0">
      <items count="3">
        <item x="0"/>
        <item n="x" m="1" x="1"/>
        <item t="default"/>
      </items>
    </pivotField>
    <pivotField showAll="0"/>
  </pivotFields>
  <rowFields count="1">
    <field x="24"/>
  </rowFields>
  <rowItems count="2">
    <i>
      <x/>
    </i>
    <i t="grand">
      <x/>
    </i>
  </rowItems>
  <colFields count="2">
    <field x="-2"/>
    <field x="20"/>
  </colFields>
  <colItems count="4">
    <i>
      <x/>
      <x v="2"/>
    </i>
    <i i="1">
      <x v="1"/>
      <x v="2"/>
    </i>
    <i t="grand">
      <x/>
    </i>
    <i t="grand" i="1">
      <x/>
    </i>
  </colItems>
  <dataFields count="2">
    <dataField name="Sum of Amount in USD" fld="16" baseField="0" baseItem="0" numFmtId="166"/>
    <dataField name="Count of Invoice Document No." fld="2" subtotal="count" baseField="23" baseItem="2"/>
  </dataFields>
  <formats count="32">
    <format dxfId="82">
      <pivotArea dataOnly="0" labelOnly="1" grandCol="1" outline="0" fieldPosition="0"/>
    </format>
    <format dxfId="83">
      <pivotArea dataOnly="0" labelOnly="1" grandCol="1" outline="0" fieldPosition="0"/>
    </format>
    <format dxfId="84">
      <pivotArea dataOnly="0" labelOnly="1" grandCol="1" outline="0" fieldPosition="0"/>
    </format>
    <format dxfId="85">
      <pivotArea type="origin" dataOnly="0" labelOnly="1" outline="0" fieldPosition="0"/>
    </format>
    <format dxfId="86">
      <pivotArea field="20" type="button" dataOnly="0" labelOnly="1" outline="0" axis="axisCol" fieldPosition="1"/>
    </format>
    <format dxfId="87">
      <pivotArea type="topRight" dataOnly="0" labelOnly="1" outline="0" fieldPosition="0"/>
    </format>
    <format dxfId="88">
      <pivotArea dataOnly="0" labelOnly="1" grandCol="1" outline="0" fieldPosition="0"/>
    </format>
    <format dxfId="89">
      <pivotArea type="all" dataOnly="0" outline="0" fieldPosition="0"/>
    </format>
    <format dxfId="90">
      <pivotArea field="20" type="button" dataOnly="0" labelOnly="1" outline="0" axis="axisCol" fieldPosition="1"/>
    </format>
    <format dxfId="91">
      <pivotArea type="topRight" dataOnly="0" labelOnly="1" outline="0" fieldPosition="0"/>
    </format>
    <format dxfId="92">
      <pivotArea type="topRight" dataOnly="0" labelOnly="1" outline="0" offset="C1" fieldPosition="0"/>
    </format>
    <format dxfId="93">
      <pivotArea dataOnly="0" labelOnly="1" grandCol="1" outline="0" fieldPosition="0"/>
    </format>
    <format dxfId="94">
      <pivotArea outline="0" collapsedLevelsAreSubtotals="1" fieldPosition="0"/>
    </format>
    <format dxfId="95">
      <pivotArea type="origin" dataOnly="0" labelOnly="1" outline="0" fieldPosition="0"/>
    </format>
    <format dxfId="96">
      <pivotArea field="20" type="button" dataOnly="0" labelOnly="1" outline="0" axis="axisCol" fieldPosition="1"/>
    </format>
    <format dxfId="97">
      <pivotArea type="topRight" dataOnly="0" labelOnly="1" outline="0" fieldPosition="0"/>
    </format>
    <format dxfId="98">
      <pivotArea dataOnly="0" labelOnly="1" grandCol="1" outline="0" fieldPosition="0"/>
    </format>
    <format dxfId="99">
      <pivotArea type="origin" dataOnly="0" labelOnly="1" outline="0" fieldPosition="0"/>
    </format>
    <format dxfId="100">
      <pivotArea field="20" type="button" dataOnly="0" labelOnly="1" outline="0" axis="axisCol" fieldPosition="1"/>
    </format>
    <format dxfId="101">
      <pivotArea type="topRight" dataOnly="0" labelOnly="1" outline="0" fieldPosition="0"/>
    </format>
    <format dxfId="102">
      <pivotArea dataOnly="0" labelOnly="1" grandCol="1" outline="0" fieldPosition="0"/>
    </format>
    <format dxfId="103">
      <pivotArea grandRow="1" outline="0" collapsedLevelsAreSubtotals="1" fieldPosition="0"/>
    </format>
    <format dxfId="104">
      <pivotArea dataOnly="0" labelOnly="1" grandRow="1" outline="0" fieldPosition="0"/>
    </format>
    <format dxfId="105">
      <pivotArea grandRow="1" outline="0" collapsedLevelsAreSubtotals="1" fieldPosition="0"/>
    </format>
    <format dxfId="106">
      <pivotArea dataOnly="0" labelOnly="1" grandRow="1" outline="0" fieldPosition="0"/>
    </format>
    <format dxfId="107">
      <pivotArea dataOnly="0" labelOnly="1" fieldPosition="0">
        <references count="1">
          <reference field="20" count="0"/>
        </references>
      </pivotArea>
    </format>
    <format dxfId="108">
      <pivotArea dataOnly="0" labelOnly="1" fieldPosition="0">
        <references count="1">
          <reference field="20" count="0"/>
        </references>
      </pivotArea>
    </format>
    <format dxfId="109">
      <pivotArea dataOnly="0" labelOnly="1" fieldPosition="0">
        <references count="1">
          <reference field="20" count="0"/>
        </references>
      </pivotArea>
    </format>
    <format dxfId="110">
      <pivotArea dataOnly="0" labelOnly="1" fieldPosition="0">
        <references count="1">
          <reference field="20" count="0"/>
        </references>
      </pivotArea>
    </format>
    <format dxfId="1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2">
      <pivotArea field="-2" type="button" dataOnly="0" labelOnly="1" outline="0" axis="axisCol" fieldPosition="0"/>
    </format>
    <format dxfId="113">
      <pivotArea field="24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I46"/>
  <sheetViews>
    <sheetView showGridLines="0" tabSelected="1" zoomScale="80" zoomScaleNormal="80" workbookViewId="0"/>
  </sheetViews>
  <sheetFormatPr defaultRowHeight="12.75"/>
  <cols>
    <col min="1" max="1" width="8.7109375" style="1"/>
  </cols>
  <sheetData>
    <row r="1" spans="3:7" ht="22.5" customHeight="1" thickBot="1"/>
    <row r="2" spans="3:7" ht="21.75" thickBot="1">
      <c r="C2" s="44" t="s">
        <v>38</v>
      </c>
      <c r="D2" s="45"/>
      <c r="E2" s="45"/>
      <c r="F2" s="45"/>
      <c r="G2" s="46"/>
    </row>
    <row r="11" spans="3:7">
      <c r="E11" s="10"/>
    </row>
    <row r="17" spans="3:3" s="1" customFormat="1"/>
    <row r="18" spans="3:3" s="1" customFormat="1"/>
    <row r="19" spans="3:3" s="1" customFormat="1"/>
    <row r="20" spans="3:3" s="1" customFormat="1"/>
    <row r="21" spans="3:3" s="1" customFormat="1"/>
    <row r="22" spans="3:3" s="1" customFormat="1"/>
    <row r="23" spans="3:3" s="1" customFormat="1"/>
    <row r="24" spans="3:3" s="1" customFormat="1"/>
    <row r="29" spans="3:3">
      <c r="C29" s="10"/>
    </row>
    <row r="30" spans="3:3">
      <c r="C30" s="10"/>
    </row>
    <row r="43" spans="3:9">
      <c r="C43" s="10"/>
    </row>
    <row r="46" spans="3:9">
      <c r="I46" s="10"/>
    </row>
  </sheetData>
  <mergeCells count="1">
    <mergeCell ref="C2:G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L50"/>
  <sheetViews>
    <sheetView zoomScale="80" zoomScaleNormal="80" workbookViewId="0">
      <selection activeCell="A9" sqref="A9"/>
    </sheetView>
  </sheetViews>
  <sheetFormatPr defaultColWidth="7.7109375" defaultRowHeight="12.75"/>
  <cols>
    <col min="1" max="1" width="28.85546875" customWidth="1"/>
    <col min="2" max="3" width="12.85546875" customWidth="1"/>
    <col min="4" max="4" width="15" bestFit="1" customWidth="1"/>
    <col min="5" max="5" width="20.85546875" bestFit="1" customWidth="1"/>
    <col min="6" max="6" width="12.5703125" bestFit="1" customWidth="1"/>
    <col min="7" max="8" width="10" bestFit="1" customWidth="1"/>
    <col min="9" max="9" width="12.42578125" bestFit="1" customWidth="1"/>
    <col min="10" max="10" width="20.5703125" bestFit="1" customWidth="1"/>
    <col min="11" max="11" width="18.42578125" bestFit="1" customWidth="1"/>
    <col min="12" max="12" width="21.7109375" bestFit="1" customWidth="1"/>
  </cols>
  <sheetData>
    <row r="1" spans="1:12" s="1" customFormat="1" ht="15">
      <c r="A1" s="2" t="s">
        <v>24</v>
      </c>
    </row>
    <row r="2" spans="1:12" s="1" customFormat="1" ht="15">
      <c r="A2" s="2"/>
    </row>
    <row r="3" spans="1:12">
      <c r="A3" s="12"/>
      <c r="B3" s="12" t="s">
        <v>23</v>
      </c>
      <c r="C3" s="12"/>
      <c r="D3" s="13"/>
      <c r="E3" s="14"/>
    </row>
    <row r="4" spans="1:12" ht="33.950000000000003" customHeight="1">
      <c r="A4" s="12"/>
      <c r="B4" s="12" t="s">
        <v>32</v>
      </c>
      <c r="C4" s="12" t="s">
        <v>22</v>
      </c>
      <c r="D4" s="15" t="s">
        <v>40</v>
      </c>
      <c r="E4" s="15" t="s">
        <v>41</v>
      </c>
    </row>
    <row r="5" spans="1:12">
      <c r="A5" s="12" t="s">
        <v>4</v>
      </c>
      <c r="B5" s="19" t="s">
        <v>42</v>
      </c>
      <c r="C5" s="19" t="s">
        <v>42</v>
      </c>
      <c r="D5" s="16"/>
      <c r="E5" s="16"/>
    </row>
    <row r="6" spans="1:12">
      <c r="A6" s="38" t="s">
        <v>42</v>
      </c>
      <c r="B6" s="8">
        <v>0</v>
      </c>
      <c r="C6" s="8"/>
      <c r="D6" s="8">
        <v>0</v>
      </c>
      <c r="E6" s="8"/>
    </row>
    <row r="7" spans="1:12">
      <c r="A7" s="39" t="s">
        <v>39</v>
      </c>
      <c r="B7" s="17">
        <v>0</v>
      </c>
      <c r="C7" s="17"/>
      <c r="D7" s="17">
        <v>0</v>
      </c>
      <c r="E7" s="17"/>
    </row>
    <row r="9" spans="1:12" s="1" customFormat="1">
      <c r="A9"/>
      <c r="B9"/>
      <c r="C9"/>
      <c r="D9"/>
      <c r="E9"/>
      <c r="F9"/>
      <c r="G9"/>
      <c r="H9"/>
      <c r="I9"/>
      <c r="J9"/>
      <c r="K9"/>
      <c r="L9"/>
    </row>
    <row r="10" spans="1:12" s="1" customFormat="1">
      <c r="A10"/>
      <c r="B10"/>
      <c r="C10"/>
      <c r="D10"/>
      <c r="E10"/>
      <c r="F10"/>
      <c r="G10"/>
      <c r="H10"/>
      <c r="I10"/>
      <c r="J10"/>
      <c r="K10"/>
      <c r="L10"/>
    </row>
    <row r="11" spans="1:12" s="1" customFormat="1">
      <c r="A11"/>
      <c r="B11"/>
      <c r="C11"/>
      <c r="D11"/>
      <c r="E11"/>
      <c r="F11"/>
      <c r="G11"/>
      <c r="H11"/>
      <c r="I11"/>
      <c r="J11"/>
      <c r="K11"/>
      <c r="L11"/>
    </row>
    <row r="12" spans="1:12" s="1" customFormat="1">
      <c r="A12"/>
      <c r="B12"/>
      <c r="C12"/>
      <c r="D12"/>
      <c r="E12"/>
      <c r="F12"/>
      <c r="G12"/>
      <c r="H12"/>
      <c r="I12"/>
      <c r="J12"/>
      <c r="K12"/>
    </row>
    <row r="13" spans="1:12" s="1" customFormat="1">
      <c r="A13"/>
      <c r="B13"/>
      <c r="C13"/>
      <c r="D13"/>
      <c r="E13"/>
      <c r="F13"/>
      <c r="G13"/>
      <c r="H13"/>
      <c r="I13"/>
      <c r="J13"/>
      <c r="K13"/>
    </row>
    <row r="14" spans="1:12" s="1" customFormat="1">
      <c r="A14"/>
      <c r="B14"/>
      <c r="C14"/>
      <c r="D14"/>
      <c r="E14"/>
      <c r="F14"/>
      <c r="G14"/>
      <c r="H14"/>
      <c r="I14"/>
      <c r="J14"/>
      <c r="K14"/>
    </row>
    <row r="15" spans="1:12" s="1" customFormat="1">
      <c r="A15"/>
      <c r="B15"/>
      <c r="C15"/>
      <c r="D15"/>
      <c r="E15"/>
      <c r="F15"/>
      <c r="G15"/>
      <c r="H15"/>
      <c r="I15"/>
      <c r="J15"/>
      <c r="K15"/>
      <c r="L15"/>
    </row>
    <row r="16" spans="1:12" ht="15">
      <c r="A16" s="2" t="s">
        <v>36</v>
      </c>
    </row>
    <row r="17" spans="1:10">
      <c r="A17" s="12" t="s">
        <v>22</v>
      </c>
      <c r="B17" s="12" t="s">
        <v>5</v>
      </c>
      <c r="C17" s="13"/>
      <c r="D17" s="14"/>
    </row>
    <row r="18" spans="1:10">
      <c r="A18" s="12" t="s">
        <v>4</v>
      </c>
      <c r="B18" s="12" t="s">
        <v>35</v>
      </c>
      <c r="C18" s="12" t="s">
        <v>42</v>
      </c>
      <c r="D18" s="12" t="s">
        <v>39</v>
      </c>
    </row>
    <row r="19" spans="1:10" s="9" customFormat="1">
      <c r="A19" s="3" t="s">
        <v>42</v>
      </c>
      <c r="B19" s="4"/>
      <c r="C19" s="4"/>
      <c r="D19" s="4"/>
      <c r="E19"/>
      <c r="F19"/>
      <c r="G19"/>
      <c r="H19"/>
      <c r="I19"/>
      <c r="J19"/>
    </row>
    <row r="20" spans="1:10" s="9" customFormat="1">
      <c r="A20" s="18" t="s">
        <v>39</v>
      </c>
      <c r="B20" s="20"/>
      <c r="C20" s="20"/>
      <c r="D20" s="20"/>
      <c r="E20"/>
      <c r="F20"/>
      <c r="G20"/>
      <c r="H20"/>
      <c r="I20"/>
      <c r="J20"/>
    </row>
    <row r="21" spans="1:10" s="9" customFormat="1">
      <c r="A21"/>
      <c r="B21"/>
      <c r="C21"/>
      <c r="D21"/>
      <c r="E21"/>
      <c r="F21"/>
      <c r="G21"/>
      <c r="H21"/>
      <c r="I21"/>
      <c r="J21"/>
    </row>
    <row r="22" spans="1:10" s="9" customFormat="1">
      <c r="A22"/>
      <c r="B22"/>
      <c r="C22"/>
      <c r="D22"/>
      <c r="E22"/>
      <c r="F22"/>
      <c r="G22"/>
      <c r="H22"/>
      <c r="I22"/>
      <c r="J22"/>
    </row>
    <row r="23" spans="1:10" s="9" customFormat="1">
      <c r="A23"/>
      <c r="B23"/>
      <c r="C23"/>
      <c r="D23"/>
      <c r="E23"/>
      <c r="F23"/>
      <c r="G23"/>
      <c r="H23"/>
      <c r="I23"/>
      <c r="J23"/>
    </row>
    <row r="24" spans="1:10" s="9" customFormat="1">
      <c r="A24"/>
      <c r="B24"/>
      <c r="C24"/>
      <c r="D24"/>
      <c r="E24"/>
      <c r="F24"/>
      <c r="G24"/>
      <c r="H24"/>
      <c r="I24"/>
      <c r="J24"/>
    </row>
    <row r="25" spans="1:10" s="9" customFormat="1">
      <c r="A25"/>
      <c r="B25"/>
      <c r="C25"/>
      <c r="D25"/>
      <c r="E25"/>
      <c r="F25"/>
      <c r="G25"/>
      <c r="H25"/>
      <c r="I25"/>
      <c r="J25"/>
    </row>
    <row r="26" spans="1:10" s="9" customFormat="1">
      <c r="A26"/>
      <c r="B26"/>
      <c r="C26"/>
      <c r="D26"/>
      <c r="E26"/>
      <c r="F26"/>
      <c r="G26"/>
      <c r="H26"/>
      <c r="I26"/>
      <c r="J26"/>
    </row>
    <row r="27" spans="1:10" s="9" customFormat="1">
      <c r="A27"/>
      <c r="B27"/>
      <c r="C27"/>
      <c r="D27"/>
      <c r="E27"/>
      <c r="F27"/>
      <c r="G27"/>
      <c r="H27"/>
      <c r="I27"/>
      <c r="J27"/>
    </row>
    <row r="28" spans="1:10" s="9" customFormat="1">
      <c r="A28"/>
      <c r="B28"/>
      <c r="C28"/>
      <c r="D28"/>
      <c r="E28"/>
      <c r="F28"/>
      <c r="G28"/>
      <c r="H28"/>
      <c r="I28"/>
      <c r="J28"/>
    </row>
    <row r="29" spans="1:10" s="9" customFormat="1">
      <c r="A29"/>
      <c r="B29"/>
      <c r="C29"/>
      <c r="D29"/>
      <c r="E29"/>
      <c r="F29"/>
      <c r="G29"/>
      <c r="H29"/>
      <c r="I29"/>
      <c r="J29"/>
    </row>
    <row r="30" spans="1:10" s="9" customFormat="1">
      <c r="A30"/>
      <c r="B30"/>
      <c r="C30"/>
      <c r="D30"/>
      <c r="E30"/>
      <c r="F30"/>
      <c r="G30"/>
      <c r="H30"/>
      <c r="I30"/>
      <c r="J30"/>
    </row>
    <row r="31" spans="1:10" s="9" customFormat="1">
      <c r="A31"/>
      <c r="B31"/>
      <c r="C31"/>
      <c r="D31"/>
      <c r="E31"/>
      <c r="F31"/>
      <c r="G31"/>
      <c r="H31"/>
      <c r="I31"/>
      <c r="J31"/>
    </row>
    <row r="32" spans="1:10" s="9" customFormat="1">
      <c r="A32"/>
      <c r="B32"/>
      <c r="C32"/>
      <c r="D32"/>
      <c r="E32"/>
      <c r="F32"/>
      <c r="G32"/>
      <c r="H32"/>
      <c r="I32"/>
      <c r="J32"/>
    </row>
    <row r="33" spans="1:10" s="9" customFormat="1">
      <c r="A33"/>
      <c r="B33"/>
      <c r="C33"/>
      <c r="D33"/>
      <c r="E33"/>
      <c r="F33"/>
      <c r="G33"/>
      <c r="H33"/>
      <c r="I33"/>
      <c r="J33"/>
    </row>
    <row r="34" spans="1:10" s="9" customFormat="1">
      <c r="A34"/>
      <c r="B34"/>
      <c r="C34"/>
      <c r="D34"/>
      <c r="E34"/>
      <c r="F34"/>
      <c r="G34"/>
      <c r="H34"/>
      <c r="I34"/>
      <c r="J34"/>
    </row>
    <row r="35" spans="1:10" s="9" customFormat="1">
      <c r="A35"/>
      <c r="B35"/>
      <c r="C35"/>
      <c r="D35"/>
      <c r="E35"/>
      <c r="F35"/>
      <c r="G35"/>
      <c r="H35"/>
      <c r="I35"/>
      <c r="J35"/>
    </row>
    <row r="36" spans="1:10" s="9" customFormat="1" ht="14.45" customHeight="1">
      <c r="A36"/>
      <c r="B36"/>
      <c r="C36"/>
      <c r="D36"/>
      <c r="E36"/>
      <c r="F36"/>
      <c r="G36"/>
      <c r="H36"/>
      <c r="I36"/>
      <c r="J36"/>
    </row>
    <row r="37" spans="1:10" s="9" customFormat="1">
      <c r="A37"/>
      <c r="B37"/>
      <c r="C37"/>
      <c r="D37"/>
      <c r="E37"/>
      <c r="F37"/>
      <c r="G37"/>
      <c r="H37"/>
      <c r="I37"/>
      <c r="J37"/>
    </row>
    <row r="38" spans="1:10" s="9" customFormat="1">
      <c r="A38"/>
      <c r="B38"/>
      <c r="C38"/>
      <c r="D38"/>
      <c r="E38"/>
      <c r="F38"/>
      <c r="G38"/>
      <c r="H38"/>
      <c r="I38"/>
      <c r="J38"/>
    </row>
    <row r="39" spans="1:10" s="9" customFormat="1">
      <c r="A39"/>
      <c r="B39"/>
      <c r="C39"/>
      <c r="D39"/>
      <c r="E39"/>
      <c r="F39"/>
      <c r="G39"/>
      <c r="H39"/>
      <c r="I39"/>
      <c r="J39"/>
    </row>
    <row r="40" spans="1:10" s="9" customFormat="1">
      <c r="A40"/>
      <c r="B40"/>
      <c r="C40"/>
      <c r="D40"/>
      <c r="E40"/>
      <c r="F40"/>
      <c r="G40"/>
      <c r="H40"/>
      <c r="I40"/>
      <c r="J40"/>
    </row>
    <row r="41" spans="1:10" s="9" customFormat="1">
      <c r="A41"/>
      <c r="B41"/>
      <c r="C41"/>
      <c r="D41"/>
      <c r="E41"/>
      <c r="F41"/>
      <c r="G41"/>
      <c r="H41"/>
      <c r="I41"/>
      <c r="J41"/>
    </row>
    <row r="42" spans="1:10" s="9" customFormat="1">
      <c r="A42"/>
      <c r="B42"/>
      <c r="C42"/>
      <c r="D42"/>
      <c r="E42"/>
      <c r="F42"/>
      <c r="G42"/>
      <c r="H42"/>
      <c r="I42"/>
      <c r="J42"/>
    </row>
    <row r="43" spans="1:10" s="9" customFormat="1">
      <c r="A43"/>
      <c r="B43"/>
      <c r="C43"/>
      <c r="D43"/>
      <c r="E43"/>
      <c r="F43"/>
      <c r="G43"/>
      <c r="H43"/>
      <c r="I43"/>
      <c r="J43"/>
    </row>
    <row r="44" spans="1:10" s="9" customFormat="1">
      <c r="A44"/>
      <c r="B44"/>
      <c r="C44"/>
      <c r="D44"/>
      <c r="E44"/>
      <c r="F44"/>
      <c r="G44"/>
      <c r="H44"/>
      <c r="I44"/>
      <c r="J44"/>
    </row>
    <row r="45" spans="1:10" s="9" customFormat="1">
      <c r="A45"/>
      <c r="B45"/>
      <c r="C45"/>
      <c r="D45"/>
      <c r="E45"/>
      <c r="F45"/>
      <c r="G45"/>
      <c r="H45"/>
      <c r="I45"/>
      <c r="J45"/>
    </row>
    <row r="46" spans="1:10" s="9" customFormat="1">
      <c r="A46"/>
      <c r="B46"/>
      <c r="C46"/>
      <c r="D46"/>
      <c r="E46"/>
      <c r="F46"/>
      <c r="G46"/>
      <c r="H46"/>
      <c r="I46"/>
      <c r="J46"/>
    </row>
    <row r="47" spans="1:10" s="9" customFormat="1">
      <c r="A47"/>
      <c r="B47"/>
      <c r="C47"/>
      <c r="D47"/>
      <c r="E47"/>
      <c r="F47"/>
      <c r="G47"/>
      <c r="H47"/>
      <c r="I47"/>
      <c r="J47"/>
    </row>
    <row r="48" spans="1:10" s="9" customFormat="1">
      <c r="A48"/>
      <c r="B48"/>
      <c r="C48"/>
      <c r="D48"/>
      <c r="E48"/>
      <c r="F48"/>
      <c r="G48"/>
      <c r="H48"/>
      <c r="I48"/>
      <c r="J48"/>
    </row>
    <row r="49" spans="1:10" s="9" customFormat="1">
      <c r="A49"/>
      <c r="B49"/>
      <c r="C49"/>
      <c r="D49"/>
      <c r="E49"/>
      <c r="F49"/>
      <c r="G49"/>
      <c r="H49"/>
      <c r="I49"/>
      <c r="J49"/>
    </row>
    <row r="50" spans="1:10" s="9" customFormat="1">
      <c r="A50"/>
      <c r="B50"/>
      <c r="C50"/>
      <c r="D50"/>
      <c r="E50"/>
      <c r="F50"/>
      <c r="G50"/>
      <c r="H50"/>
      <c r="I50"/>
      <c r="J50"/>
    </row>
  </sheetData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50"/>
  </sheetPr>
  <dimension ref="A1:Z189"/>
  <sheetViews>
    <sheetView zoomScale="80" zoomScaleNormal="80" workbookViewId="0">
      <pane xSplit="10" ySplit="2" topLeftCell="K3" activePane="bottomRight" state="frozen"/>
      <selection pane="topRight" activeCell="K1" sqref="K1"/>
      <selection pane="bottomLeft" activeCell="A2" sqref="A2"/>
      <selection pane="bottomRight" activeCell="A3" sqref="A3"/>
    </sheetView>
  </sheetViews>
  <sheetFormatPr defaultRowHeight="12.75"/>
  <cols>
    <col min="1" max="6" width="11.42578125" style="11" customWidth="1"/>
    <col min="7" max="7" width="11.42578125" style="23" customWidth="1"/>
    <col min="8" max="9" width="11.42578125" style="11" customWidth="1"/>
    <col min="10" max="10" width="13.85546875" style="11" customWidth="1"/>
    <col min="11" max="14" width="11.42578125" style="11" customWidth="1"/>
    <col min="15" max="15" width="11.42578125" style="23" customWidth="1"/>
    <col min="16" max="16" width="11.42578125" style="41" customWidth="1"/>
    <col min="17" max="26" width="11.42578125" style="11" customWidth="1"/>
  </cols>
  <sheetData>
    <row r="1" spans="1:26" s="1" customFormat="1" ht="44.1" customHeight="1">
      <c r="A1" s="21" t="s">
        <v>37</v>
      </c>
      <c r="B1" s="26" t="s">
        <v>8</v>
      </c>
      <c r="C1" s="26" t="s">
        <v>9</v>
      </c>
      <c r="D1" s="26" t="s">
        <v>1</v>
      </c>
      <c r="E1" s="27" t="s">
        <v>10</v>
      </c>
      <c r="F1" s="26" t="s">
        <v>11</v>
      </c>
      <c r="G1" s="28" t="s">
        <v>12</v>
      </c>
      <c r="H1" s="26" t="s">
        <v>2</v>
      </c>
      <c r="I1" s="29" t="s">
        <v>33</v>
      </c>
      <c r="J1" s="30" t="s">
        <v>34</v>
      </c>
      <c r="K1" s="26" t="s">
        <v>13</v>
      </c>
      <c r="L1" s="26" t="s">
        <v>3</v>
      </c>
      <c r="M1" s="26" t="s">
        <v>14</v>
      </c>
      <c r="N1" s="26" t="s">
        <v>15</v>
      </c>
      <c r="O1" s="28" t="s">
        <v>16</v>
      </c>
      <c r="P1" s="40" t="s">
        <v>17</v>
      </c>
      <c r="Q1" s="31" t="s">
        <v>30</v>
      </c>
      <c r="R1" s="32" t="s">
        <v>31</v>
      </c>
      <c r="S1" s="33" t="s">
        <v>19</v>
      </c>
      <c r="T1" s="32" t="s">
        <v>20</v>
      </c>
      <c r="U1" s="32" t="s">
        <v>21</v>
      </c>
      <c r="V1" s="32" t="s">
        <v>18</v>
      </c>
      <c r="W1" s="32" t="s">
        <v>6</v>
      </c>
      <c r="X1" s="32" t="s">
        <v>5</v>
      </c>
      <c r="Y1" s="33" t="s">
        <v>4</v>
      </c>
      <c r="Z1" s="32" t="s">
        <v>7</v>
      </c>
    </row>
    <row r="2" spans="1:26" s="1" customFormat="1">
      <c r="A2" s="11"/>
      <c r="B2" s="11"/>
      <c r="C2" s="11"/>
      <c r="D2" s="11"/>
      <c r="E2" s="34"/>
      <c r="F2" s="11"/>
      <c r="G2" s="23"/>
      <c r="H2" s="11"/>
      <c r="I2" s="11"/>
      <c r="J2" s="35" t="e">
        <f t="shared" ref="J2:J33" ca="1" si="0">_xlfn.CONCAT(H2,I2)</f>
        <v>#NAME?</v>
      </c>
      <c r="K2" s="11"/>
      <c r="L2" s="11"/>
      <c r="M2" s="11"/>
      <c r="N2" s="11"/>
      <c r="O2" s="23"/>
      <c r="P2" s="42"/>
      <c r="Q2" s="36">
        <f t="shared" ref="Q2:Q33" si="1">R2*E2</f>
        <v>0</v>
      </c>
      <c r="R2" s="37"/>
      <c r="S2" s="22" t="str">
        <f t="shared" ref="S2:S33" si="2">IF(M2=0,"-",IF(M2&lt;0,"LIV - Quantity Discrepancy",IF(M2&gt;0,"LIV - Quantity Discrepancy")))</f>
        <v>-</v>
      </c>
      <c r="T2" s="22" t="str">
        <f t="shared" ref="T2:T33" si="3">IF(N2=0,"-",IF(N2&lt;0,"LIV - Price Discrepancy",IF(N2&gt;0,"LIV - Price Discrepancy")))</f>
        <v>-</v>
      </c>
      <c r="U2" s="11"/>
      <c r="V2" s="23">
        <f t="shared" ref="V2:V33" si="4">O2+P2</f>
        <v>0</v>
      </c>
      <c r="W2" s="24">
        <f t="shared" ref="W2:W33" ca="1" si="5">TODAY()-V2</f>
        <v>45318</v>
      </c>
      <c r="X2" s="25" t="str">
        <f t="shared" ref="X2:X33" ca="1" si="6">IF(W2&lt;=0,"[0] Not due",IF(W2&lt;=30,"[1] 1-30 days",IF(W2&lt;=60,"[2] 31-60 days",IF(W2&lt;=90,"[3] 61-90 days",IF(W2&lt;=180,"[4] 90-180 days",IF(W2&lt;=360,"[5] 180-360 days","[6] &gt;360 days"))))))</f>
        <v>[6] &gt;360 days</v>
      </c>
      <c r="Y2" s="43"/>
      <c r="Z2" s="43"/>
    </row>
    <row r="3" spans="1:26">
      <c r="J3" s="35"/>
      <c r="Q3" s="36"/>
      <c r="R3" s="37"/>
      <c r="S3" s="22"/>
      <c r="T3" s="22"/>
      <c r="V3" s="23"/>
      <c r="W3" s="24"/>
      <c r="X3" s="25"/>
      <c r="Y3" s="43"/>
      <c r="Z3" s="43"/>
    </row>
    <row r="4" spans="1:26">
      <c r="J4" s="35"/>
      <c r="Q4" s="36"/>
      <c r="R4" s="37"/>
      <c r="S4" s="22"/>
      <c r="T4" s="22"/>
      <c r="V4" s="23"/>
      <c r="W4" s="24"/>
      <c r="X4" s="25"/>
    </row>
    <row r="5" spans="1:26">
      <c r="J5" s="35"/>
      <c r="Q5" s="36"/>
      <c r="R5" s="37"/>
      <c r="S5" s="22"/>
      <c r="T5" s="22"/>
      <c r="V5" s="23"/>
      <c r="W5" s="24"/>
      <c r="X5" s="25"/>
    </row>
    <row r="6" spans="1:26">
      <c r="J6" s="35"/>
      <c r="Q6" s="36"/>
      <c r="R6" s="37"/>
      <c r="S6" s="22"/>
      <c r="T6" s="22"/>
      <c r="V6" s="23"/>
      <c r="W6" s="24"/>
      <c r="X6" s="25"/>
    </row>
    <row r="7" spans="1:26">
      <c r="J7" s="35"/>
      <c r="Q7" s="36"/>
      <c r="R7" s="37"/>
      <c r="S7" s="22"/>
      <c r="T7" s="22"/>
      <c r="V7" s="23"/>
      <c r="W7" s="24"/>
      <c r="X7" s="25"/>
    </row>
    <row r="8" spans="1:26">
      <c r="J8" s="35"/>
      <c r="Q8" s="36"/>
      <c r="R8" s="37"/>
      <c r="S8" s="22"/>
      <c r="T8" s="22"/>
      <c r="V8" s="23"/>
      <c r="W8" s="24"/>
      <c r="X8" s="25"/>
    </row>
    <row r="9" spans="1:26">
      <c r="J9" s="35"/>
      <c r="Q9" s="36"/>
      <c r="R9" s="37"/>
      <c r="S9" s="22"/>
      <c r="T9" s="22"/>
      <c r="V9" s="23"/>
      <c r="W9" s="24"/>
      <c r="X9" s="25"/>
    </row>
    <row r="10" spans="1:26">
      <c r="J10" s="35"/>
      <c r="Q10" s="36"/>
      <c r="R10" s="37"/>
      <c r="S10" s="22"/>
      <c r="T10" s="22"/>
      <c r="V10" s="23"/>
      <c r="W10" s="24"/>
      <c r="X10" s="25"/>
    </row>
    <row r="11" spans="1:26">
      <c r="J11" s="35"/>
      <c r="Q11" s="36"/>
      <c r="R11" s="37"/>
      <c r="S11" s="22"/>
      <c r="T11" s="22"/>
      <c r="V11" s="23"/>
      <c r="W11" s="24"/>
      <c r="X11" s="25"/>
    </row>
    <row r="12" spans="1:26">
      <c r="J12" s="35"/>
      <c r="Q12" s="36"/>
      <c r="R12" s="37"/>
      <c r="S12" s="22"/>
      <c r="T12" s="22"/>
      <c r="V12" s="23"/>
      <c r="W12" s="24"/>
      <c r="X12" s="25"/>
    </row>
    <row r="13" spans="1:26">
      <c r="J13" s="35"/>
      <c r="Q13" s="36"/>
      <c r="R13" s="37"/>
      <c r="S13" s="22"/>
      <c r="T13" s="22"/>
      <c r="V13" s="23"/>
      <c r="W13" s="24"/>
      <c r="X13" s="25"/>
    </row>
    <row r="14" spans="1:26">
      <c r="J14" s="35"/>
      <c r="Q14" s="36"/>
      <c r="R14" s="37"/>
      <c r="S14" s="22"/>
      <c r="T14" s="22"/>
      <c r="V14" s="23"/>
      <c r="W14" s="24"/>
      <c r="X14" s="25"/>
    </row>
    <row r="15" spans="1:26">
      <c r="J15" s="35"/>
      <c r="Q15" s="36"/>
      <c r="R15" s="37"/>
      <c r="S15" s="22"/>
      <c r="T15" s="22"/>
      <c r="V15" s="23"/>
      <c r="W15" s="24"/>
      <c r="X15" s="25"/>
    </row>
    <row r="16" spans="1:26">
      <c r="J16" s="35"/>
      <c r="Q16" s="36"/>
      <c r="R16" s="37"/>
      <c r="S16" s="22"/>
      <c r="T16" s="22"/>
      <c r="V16" s="23"/>
      <c r="W16" s="24"/>
      <c r="X16" s="25"/>
    </row>
    <row r="17" spans="10:24">
      <c r="J17" s="35"/>
      <c r="Q17" s="36"/>
      <c r="R17" s="37"/>
      <c r="S17" s="22"/>
      <c r="T17" s="22"/>
      <c r="V17" s="23"/>
      <c r="W17" s="24"/>
      <c r="X17" s="25"/>
    </row>
    <row r="18" spans="10:24">
      <c r="J18" s="35"/>
      <c r="Q18" s="36"/>
      <c r="R18" s="37"/>
      <c r="S18" s="22"/>
      <c r="T18" s="22"/>
      <c r="V18" s="23"/>
      <c r="W18" s="24"/>
      <c r="X18" s="25"/>
    </row>
    <row r="19" spans="10:24">
      <c r="J19" s="35"/>
      <c r="Q19" s="36"/>
      <c r="R19" s="37"/>
      <c r="S19" s="22"/>
      <c r="T19" s="22"/>
      <c r="V19" s="23"/>
      <c r="W19" s="24"/>
      <c r="X19" s="25"/>
    </row>
    <row r="20" spans="10:24">
      <c r="J20" s="35"/>
      <c r="Q20" s="36"/>
      <c r="R20" s="37"/>
      <c r="S20" s="22"/>
      <c r="T20" s="22"/>
      <c r="V20" s="23"/>
      <c r="W20" s="24"/>
      <c r="X20" s="25"/>
    </row>
    <row r="21" spans="10:24">
      <c r="J21" s="35"/>
      <c r="Q21" s="36"/>
      <c r="R21" s="37"/>
      <c r="S21" s="22"/>
      <c r="T21" s="22"/>
      <c r="V21" s="23"/>
      <c r="W21" s="24"/>
      <c r="X21" s="25"/>
    </row>
    <row r="22" spans="10:24">
      <c r="J22" s="35"/>
      <c r="Q22" s="36"/>
      <c r="R22" s="37"/>
      <c r="S22" s="22"/>
      <c r="T22" s="22"/>
      <c r="V22" s="23"/>
      <c r="W22" s="24"/>
      <c r="X22" s="25"/>
    </row>
    <row r="23" spans="10:24">
      <c r="J23" s="35"/>
      <c r="Q23" s="36"/>
      <c r="R23" s="37"/>
      <c r="S23" s="22"/>
      <c r="T23" s="22"/>
      <c r="V23" s="23"/>
      <c r="W23" s="24"/>
      <c r="X23" s="25"/>
    </row>
    <row r="24" spans="10:24">
      <c r="J24" s="35"/>
      <c r="Q24" s="36"/>
      <c r="R24" s="37"/>
      <c r="S24" s="22"/>
      <c r="T24" s="22"/>
      <c r="V24" s="23"/>
      <c r="W24" s="24"/>
      <c r="X24" s="25"/>
    </row>
    <row r="25" spans="10:24">
      <c r="J25" s="35"/>
      <c r="Q25" s="36"/>
      <c r="R25" s="37"/>
      <c r="S25" s="22"/>
      <c r="T25" s="22"/>
      <c r="V25" s="23"/>
      <c r="W25" s="24"/>
      <c r="X25" s="25"/>
    </row>
    <row r="26" spans="10:24">
      <c r="J26" s="35"/>
      <c r="Q26" s="36"/>
      <c r="R26" s="37"/>
      <c r="S26" s="22"/>
      <c r="T26" s="22"/>
      <c r="V26" s="23"/>
      <c r="W26" s="24"/>
      <c r="X26" s="25"/>
    </row>
    <row r="27" spans="10:24">
      <c r="J27" s="35"/>
      <c r="Q27" s="36"/>
      <c r="R27" s="37"/>
      <c r="S27" s="22"/>
      <c r="T27" s="22"/>
      <c r="V27" s="23"/>
      <c r="W27" s="24"/>
      <c r="X27" s="25"/>
    </row>
    <row r="28" spans="10:24">
      <c r="J28" s="35"/>
      <c r="Q28" s="36"/>
      <c r="R28" s="37"/>
      <c r="S28" s="22"/>
      <c r="T28" s="22"/>
      <c r="V28" s="23"/>
      <c r="W28" s="24"/>
      <c r="X28" s="25"/>
    </row>
    <row r="29" spans="10:24">
      <c r="J29" s="35"/>
      <c r="Q29" s="36"/>
      <c r="R29" s="37"/>
      <c r="S29" s="22"/>
      <c r="T29" s="22"/>
      <c r="V29" s="23"/>
      <c r="W29" s="24"/>
      <c r="X29" s="25"/>
    </row>
    <row r="30" spans="10:24">
      <c r="J30" s="35"/>
      <c r="Q30" s="36"/>
      <c r="R30" s="37"/>
      <c r="S30" s="22"/>
      <c r="T30" s="22"/>
      <c r="V30" s="23"/>
      <c r="W30" s="24"/>
      <c r="X30" s="25"/>
    </row>
    <row r="31" spans="10:24">
      <c r="J31" s="35"/>
      <c r="Q31" s="36"/>
      <c r="R31" s="37"/>
      <c r="S31" s="22"/>
      <c r="T31" s="22"/>
      <c r="V31" s="23"/>
      <c r="W31" s="24"/>
      <c r="X31" s="25"/>
    </row>
    <row r="32" spans="10:24">
      <c r="J32" s="35"/>
      <c r="Q32" s="36"/>
      <c r="R32" s="37"/>
      <c r="S32" s="22"/>
      <c r="T32" s="22"/>
      <c r="V32" s="23"/>
      <c r="W32" s="24"/>
      <c r="X32" s="25"/>
    </row>
    <row r="33" spans="10:24">
      <c r="J33" s="35"/>
      <c r="Q33" s="36"/>
      <c r="R33" s="37"/>
      <c r="S33" s="22"/>
      <c r="T33" s="22"/>
      <c r="V33" s="23"/>
      <c r="W33" s="24"/>
      <c r="X33" s="25"/>
    </row>
    <row r="34" spans="10:24">
      <c r="J34" s="35"/>
      <c r="Q34" s="36"/>
      <c r="R34" s="37"/>
      <c r="S34" s="22"/>
      <c r="T34" s="22"/>
      <c r="V34" s="23"/>
      <c r="W34" s="24"/>
      <c r="X34" s="25"/>
    </row>
    <row r="35" spans="10:24">
      <c r="J35" s="35"/>
      <c r="Q35" s="36"/>
      <c r="R35" s="37"/>
      <c r="S35" s="22"/>
      <c r="T35" s="22"/>
      <c r="V35" s="23"/>
      <c r="W35" s="24"/>
      <c r="X35" s="25"/>
    </row>
    <row r="36" spans="10:24">
      <c r="J36" s="35"/>
      <c r="Q36" s="36"/>
      <c r="R36" s="37"/>
      <c r="S36" s="22"/>
      <c r="T36" s="22"/>
      <c r="V36" s="23"/>
      <c r="W36" s="24"/>
      <c r="X36" s="25"/>
    </row>
    <row r="37" spans="10:24">
      <c r="J37" s="35"/>
      <c r="Q37" s="36"/>
      <c r="R37" s="37"/>
      <c r="S37" s="22"/>
      <c r="T37" s="22"/>
      <c r="V37" s="23"/>
      <c r="W37" s="24"/>
      <c r="X37" s="25"/>
    </row>
    <row r="38" spans="10:24">
      <c r="J38" s="35"/>
      <c r="Q38" s="36"/>
      <c r="R38" s="37"/>
      <c r="S38" s="22"/>
      <c r="T38" s="22"/>
      <c r="V38" s="23"/>
      <c r="W38" s="24"/>
      <c r="X38" s="25"/>
    </row>
    <row r="39" spans="10:24">
      <c r="J39" s="35"/>
      <c r="Q39" s="36"/>
      <c r="R39" s="37"/>
      <c r="S39" s="22"/>
      <c r="T39" s="22"/>
      <c r="V39" s="23"/>
      <c r="W39" s="24"/>
      <c r="X39" s="25"/>
    </row>
    <row r="40" spans="10:24">
      <c r="J40" s="35"/>
      <c r="Q40" s="36"/>
      <c r="R40" s="37"/>
      <c r="S40" s="22"/>
      <c r="T40" s="22"/>
      <c r="V40" s="23"/>
      <c r="W40" s="24"/>
      <c r="X40" s="25"/>
    </row>
    <row r="41" spans="10:24">
      <c r="J41" s="35"/>
      <c r="Q41" s="36"/>
      <c r="R41" s="37"/>
      <c r="S41" s="22"/>
      <c r="T41" s="22"/>
      <c r="V41" s="23"/>
      <c r="W41" s="24"/>
      <c r="X41" s="25"/>
    </row>
    <row r="42" spans="10:24">
      <c r="J42" s="35"/>
      <c r="Q42" s="36"/>
      <c r="R42" s="37"/>
      <c r="S42" s="22"/>
      <c r="T42" s="22"/>
      <c r="V42" s="23"/>
      <c r="W42" s="24"/>
      <c r="X42" s="25"/>
    </row>
    <row r="43" spans="10:24">
      <c r="J43" s="35"/>
      <c r="Q43" s="36"/>
      <c r="R43" s="37"/>
      <c r="S43" s="22"/>
      <c r="T43" s="22"/>
      <c r="V43" s="23"/>
      <c r="W43" s="24"/>
      <c r="X43" s="25"/>
    </row>
    <row r="44" spans="10:24">
      <c r="J44" s="35"/>
      <c r="Q44" s="36"/>
      <c r="R44" s="37"/>
      <c r="S44" s="22"/>
      <c r="T44" s="22"/>
      <c r="V44" s="23"/>
      <c r="W44" s="24"/>
      <c r="X44" s="25"/>
    </row>
    <row r="45" spans="10:24">
      <c r="J45" s="35"/>
      <c r="Q45" s="36"/>
      <c r="R45" s="37"/>
      <c r="S45" s="22"/>
      <c r="T45" s="22"/>
      <c r="V45" s="23"/>
      <c r="W45" s="24"/>
      <c r="X45" s="25"/>
    </row>
    <row r="46" spans="10:24">
      <c r="J46" s="35"/>
      <c r="Q46" s="36"/>
      <c r="R46" s="37"/>
      <c r="S46" s="22"/>
      <c r="T46" s="22"/>
      <c r="V46" s="23"/>
      <c r="W46" s="24"/>
      <c r="X46" s="25"/>
    </row>
    <row r="47" spans="10:24">
      <c r="J47" s="35"/>
      <c r="Q47" s="36"/>
      <c r="R47" s="37"/>
      <c r="S47" s="22"/>
      <c r="T47" s="22"/>
      <c r="V47" s="23"/>
      <c r="W47" s="24"/>
      <c r="X47" s="25"/>
    </row>
    <row r="48" spans="10:24">
      <c r="J48" s="35"/>
      <c r="Q48" s="36"/>
      <c r="R48" s="37"/>
      <c r="S48" s="22"/>
      <c r="T48" s="22"/>
      <c r="V48" s="23"/>
      <c r="W48" s="24"/>
      <c r="X48" s="25"/>
    </row>
    <row r="49" spans="10:24">
      <c r="J49" s="35"/>
      <c r="Q49" s="36"/>
      <c r="R49" s="37"/>
      <c r="S49" s="22"/>
      <c r="T49" s="22"/>
      <c r="V49" s="23"/>
      <c r="W49" s="24"/>
      <c r="X49" s="25"/>
    </row>
    <row r="50" spans="10:24">
      <c r="J50" s="35"/>
      <c r="Q50" s="36"/>
      <c r="R50" s="37"/>
      <c r="S50" s="22"/>
      <c r="T50" s="22"/>
      <c r="V50" s="23"/>
      <c r="W50" s="24"/>
      <c r="X50" s="25"/>
    </row>
    <row r="51" spans="10:24">
      <c r="J51" s="35"/>
      <c r="Q51" s="36"/>
      <c r="R51" s="37"/>
      <c r="S51" s="22"/>
      <c r="T51" s="22"/>
      <c r="V51" s="23"/>
      <c r="W51" s="24"/>
      <c r="X51" s="25"/>
    </row>
    <row r="52" spans="10:24">
      <c r="J52" s="35"/>
      <c r="Q52" s="36"/>
      <c r="R52" s="37"/>
      <c r="S52" s="22"/>
      <c r="T52" s="22"/>
      <c r="V52" s="23"/>
      <c r="W52" s="24"/>
      <c r="X52" s="25"/>
    </row>
    <row r="53" spans="10:24">
      <c r="J53" s="35"/>
      <c r="Q53" s="36"/>
      <c r="R53" s="37"/>
      <c r="S53" s="22"/>
      <c r="T53" s="22"/>
      <c r="V53" s="23"/>
      <c r="W53" s="24"/>
      <c r="X53" s="25"/>
    </row>
    <row r="54" spans="10:24">
      <c r="J54" s="35"/>
      <c r="Q54" s="36"/>
      <c r="R54" s="37"/>
      <c r="S54" s="22"/>
      <c r="T54" s="22"/>
      <c r="V54" s="23"/>
      <c r="W54" s="24"/>
      <c r="X54" s="25"/>
    </row>
    <row r="55" spans="10:24">
      <c r="J55" s="35"/>
      <c r="Q55" s="36"/>
      <c r="R55" s="37"/>
      <c r="S55" s="22"/>
      <c r="T55" s="22"/>
      <c r="V55" s="23"/>
      <c r="W55" s="24"/>
      <c r="X55" s="25"/>
    </row>
    <row r="56" spans="10:24">
      <c r="J56" s="35"/>
      <c r="Q56" s="36"/>
      <c r="R56" s="37"/>
      <c r="S56" s="22"/>
      <c r="T56" s="22"/>
      <c r="V56" s="23"/>
      <c r="W56" s="24"/>
      <c r="X56" s="25"/>
    </row>
    <row r="57" spans="10:24">
      <c r="J57" s="35"/>
      <c r="Q57" s="36"/>
      <c r="R57" s="37"/>
      <c r="S57" s="22"/>
      <c r="T57" s="22"/>
      <c r="V57" s="23"/>
      <c r="W57" s="24"/>
      <c r="X57" s="25"/>
    </row>
    <row r="58" spans="10:24">
      <c r="J58" s="35"/>
      <c r="Q58" s="36"/>
      <c r="R58" s="37"/>
      <c r="S58" s="22"/>
      <c r="T58" s="22"/>
      <c r="V58" s="23"/>
      <c r="W58" s="24"/>
      <c r="X58" s="25"/>
    </row>
    <row r="59" spans="10:24">
      <c r="J59" s="35"/>
      <c r="Q59" s="36"/>
      <c r="R59" s="37"/>
      <c r="S59" s="22"/>
      <c r="T59" s="22"/>
      <c r="V59" s="23"/>
      <c r="W59" s="24"/>
      <c r="X59" s="25"/>
    </row>
    <row r="60" spans="10:24">
      <c r="J60" s="35"/>
      <c r="Q60" s="36"/>
      <c r="R60" s="37"/>
      <c r="S60" s="22"/>
      <c r="T60" s="22"/>
      <c r="V60" s="23"/>
      <c r="W60" s="24"/>
      <c r="X60" s="25"/>
    </row>
    <row r="61" spans="10:24">
      <c r="J61" s="35"/>
      <c r="Q61" s="36"/>
      <c r="R61" s="37"/>
      <c r="S61" s="22"/>
      <c r="T61" s="22"/>
      <c r="V61" s="23"/>
      <c r="W61" s="24"/>
      <c r="X61" s="25"/>
    </row>
    <row r="62" spans="10:24">
      <c r="J62" s="35"/>
      <c r="Q62" s="36"/>
      <c r="R62" s="37"/>
      <c r="S62" s="22"/>
      <c r="T62" s="22"/>
      <c r="V62" s="23"/>
      <c r="W62" s="24"/>
      <c r="X62" s="25"/>
    </row>
    <row r="63" spans="10:24">
      <c r="J63" s="35"/>
      <c r="Q63" s="36"/>
      <c r="R63" s="37"/>
      <c r="S63" s="22"/>
      <c r="T63" s="22"/>
      <c r="V63" s="23"/>
      <c r="W63" s="24"/>
      <c r="X63" s="25"/>
    </row>
    <row r="64" spans="10:24">
      <c r="J64" s="35"/>
      <c r="Q64" s="36"/>
      <c r="R64" s="37"/>
      <c r="S64" s="22"/>
      <c r="T64" s="22"/>
      <c r="V64" s="23"/>
      <c r="W64" s="24"/>
      <c r="X64" s="25"/>
    </row>
    <row r="65" spans="10:24">
      <c r="J65" s="35"/>
      <c r="Q65" s="36"/>
      <c r="R65" s="37"/>
      <c r="S65" s="22"/>
      <c r="T65" s="22"/>
      <c r="V65" s="23"/>
      <c r="W65" s="24"/>
      <c r="X65" s="25"/>
    </row>
    <row r="66" spans="10:24">
      <c r="J66" s="35"/>
      <c r="Q66" s="36"/>
      <c r="R66" s="37"/>
      <c r="S66" s="22"/>
      <c r="T66" s="22"/>
      <c r="V66" s="23"/>
      <c r="W66" s="24"/>
      <c r="X66" s="25"/>
    </row>
    <row r="67" spans="10:24">
      <c r="J67" s="35"/>
      <c r="Q67" s="36"/>
      <c r="R67" s="37"/>
      <c r="S67" s="22"/>
      <c r="T67" s="22"/>
      <c r="V67" s="23"/>
      <c r="W67" s="24"/>
      <c r="X67" s="25"/>
    </row>
    <row r="68" spans="10:24">
      <c r="J68" s="35"/>
      <c r="Q68" s="36"/>
      <c r="R68" s="37"/>
      <c r="S68" s="22"/>
      <c r="T68" s="22"/>
      <c r="V68" s="23"/>
      <c r="W68" s="24"/>
      <c r="X68" s="25"/>
    </row>
    <row r="69" spans="10:24">
      <c r="J69" s="35"/>
      <c r="Q69" s="36"/>
      <c r="R69" s="37"/>
      <c r="S69" s="22"/>
      <c r="T69" s="22"/>
      <c r="V69" s="23"/>
      <c r="W69" s="24"/>
      <c r="X69" s="25"/>
    </row>
    <row r="70" spans="10:24">
      <c r="J70" s="35"/>
      <c r="Q70" s="36"/>
      <c r="R70" s="37"/>
      <c r="S70" s="22"/>
      <c r="T70" s="22"/>
      <c r="V70" s="23"/>
      <c r="W70" s="24"/>
      <c r="X70" s="25"/>
    </row>
    <row r="71" spans="10:24">
      <c r="J71" s="35"/>
      <c r="Q71" s="36"/>
      <c r="R71" s="37"/>
      <c r="S71" s="22"/>
      <c r="T71" s="22"/>
      <c r="V71" s="23"/>
      <c r="W71" s="24"/>
      <c r="X71" s="25"/>
    </row>
    <row r="72" spans="10:24">
      <c r="J72" s="35"/>
      <c r="Q72" s="36"/>
      <c r="R72" s="37"/>
      <c r="S72" s="22"/>
      <c r="T72" s="22"/>
      <c r="V72" s="23"/>
      <c r="W72" s="24"/>
      <c r="X72" s="25"/>
    </row>
    <row r="73" spans="10:24">
      <c r="J73" s="35"/>
      <c r="Q73" s="36"/>
      <c r="R73" s="37"/>
      <c r="S73" s="22"/>
      <c r="T73" s="22"/>
      <c r="V73" s="23"/>
      <c r="W73" s="24"/>
      <c r="X73" s="25"/>
    </row>
    <row r="74" spans="10:24">
      <c r="J74" s="35"/>
      <c r="Q74" s="36"/>
      <c r="R74" s="37"/>
      <c r="S74" s="22"/>
      <c r="T74" s="22"/>
      <c r="V74" s="23"/>
      <c r="W74" s="24"/>
      <c r="X74" s="25"/>
    </row>
    <row r="75" spans="10:24">
      <c r="J75" s="35"/>
      <c r="Q75" s="36"/>
      <c r="R75" s="37"/>
      <c r="S75" s="22"/>
      <c r="T75" s="22"/>
      <c r="V75" s="23"/>
      <c r="W75" s="24"/>
      <c r="X75" s="25"/>
    </row>
    <row r="76" spans="10:24">
      <c r="J76" s="35"/>
      <c r="Q76" s="36"/>
      <c r="R76" s="37"/>
      <c r="S76" s="22"/>
      <c r="T76" s="22"/>
      <c r="V76" s="23"/>
      <c r="W76" s="24"/>
      <c r="X76" s="25"/>
    </row>
    <row r="77" spans="10:24">
      <c r="J77" s="35"/>
      <c r="Q77" s="36"/>
      <c r="R77" s="37"/>
      <c r="S77" s="22"/>
      <c r="T77" s="22"/>
      <c r="V77" s="23"/>
      <c r="W77" s="24"/>
      <c r="X77" s="25"/>
    </row>
    <row r="78" spans="10:24">
      <c r="J78" s="35"/>
      <c r="Q78" s="36"/>
      <c r="R78" s="37"/>
      <c r="S78" s="22"/>
      <c r="T78" s="22"/>
      <c r="V78" s="23"/>
      <c r="W78" s="24"/>
      <c r="X78" s="25"/>
    </row>
    <row r="79" spans="10:24">
      <c r="J79" s="35"/>
      <c r="Q79" s="36"/>
      <c r="R79" s="37"/>
      <c r="S79" s="22"/>
      <c r="T79" s="22"/>
      <c r="V79" s="23"/>
      <c r="W79" s="24"/>
      <c r="X79" s="25"/>
    </row>
    <row r="80" spans="10:24">
      <c r="J80" s="35"/>
      <c r="Q80" s="36"/>
      <c r="R80" s="37"/>
      <c r="S80" s="22"/>
      <c r="T80" s="22"/>
      <c r="V80" s="23"/>
      <c r="W80" s="24"/>
      <c r="X80" s="25"/>
    </row>
    <row r="81" spans="10:24">
      <c r="J81" s="35"/>
      <c r="Q81" s="36"/>
      <c r="R81" s="37"/>
      <c r="S81" s="22"/>
      <c r="T81" s="22"/>
      <c r="V81" s="23"/>
      <c r="W81" s="24"/>
      <c r="X81" s="25"/>
    </row>
    <row r="82" spans="10:24">
      <c r="J82" s="35"/>
      <c r="Q82" s="36"/>
      <c r="R82" s="37"/>
      <c r="S82" s="22"/>
      <c r="T82" s="22"/>
      <c r="V82" s="23"/>
      <c r="W82" s="24"/>
      <c r="X82" s="25"/>
    </row>
    <row r="83" spans="10:24">
      <c r="J83" s="35"/>
      <c r="Q83" s="36"/>
      <c r="R83" s="37"/>
      <c r="S83" s="22"/>
      <c r="T83" s="22"/>
      <c r="V83" s="23"/>
      <c r="W83" s="24"/>
      <c r="X83" s="25"/>
    </row>
    <row r="84" spans="10:24">
      <c r="J84" s="35"/>
      <c r="Q84" s="36"/>
      <c r="R84" s="37"/>
      <c r="S84" s="22"/>
      <c r="T84" s="22"/>
      <c r="V84" s="23"/>
      <c r="W84" s="24"/>
      <c r="X84" s="25"/>
    </row>
    <row r="85" spans="10:24">
      <c r="J85" s="35"/>
      <c r="Q85" s="36"/>
      <c r="R85" s="37"/>
      <c r="S85" s="22"/>
      <c r="T85" s="22"/>
      <c r="V85" s="23"/>
      <c r="W85" s="24"/>
      <c r="X85" s="25"/>
    </row>
    <row r="86" spans="10:24">
      <c r="J86" s="35"/>
      <c r="Q86" s="36"/>
      <c r="R86" s="37"/>
      <c r="S86" s="22"/>
      <c r="T86" s="22"/>
      <c r="V86" s="23"/>
      <c r="W86" s="24"/>
      <c r="X86" s="25"/>
    </row>
    <row r="87" spans="10:24">
      <c r="J87" s="35"/>
      <c r="Q87" s="36"/>
      <c r="R87" s="37"/>
      <c r="S87" s="22"/>
      <c r="T87" s="22"/>
      <c r="V87" s="23"/>
      <c r="W87" s="24"/>
      <c r="X87" s="25"/>
    </row>
    <row r="88" spans="10:24">
      <c r="J88" s="35"/>
      <c r="Q88" s="36"/>
      <c r="R88" s="37"/>
      <c r="S88" s="22"/>
      <c r="T88" s="22"/>
      <c r="V88" s="23"/>
      <c r="W88" s="24"/>
      <c r="X88" s="25"/>
    </row>
    <row r="89" spans="10:24">
      <c r="J89" s="35"/>
      <c r="Q89" s="36"/>
      <c r="R89" s="37"/>
      <c r="S89" s="22"/>
      <c r="T89" s="22"/>
      <c r="V89" s="23"/>
      <c r="W89" s="24"/>
      <c r="X89" s="25"/>
    </row>
    <row r="90" spans="10:24">
      <c r="J90" s="35"/>
      <c r="Q90" s="36"/>
      <c r="R90" s="37"/>
      <c r="S90" s="22"/>
      <c r="T90" s="22"/>
      <c r="V90" s="23"/>
      <c r="W90" s="24"/>
      <c r="X90" s="25"/>
    </row>
    <row r="91" spans="10:24">
      <c r="J91" s="35"/>
      <c r="Q91" s="36"/>
      <c r="R91" s="37"/>
      <c r="S91" s="22"/>
      <c r="T91" s="22"/>
      <c r="V91" s="23"/>
      <c r="W91" s="24"/>
      <c r="X91" s="25"/>
    </row>
    <row r="92" spans="10:24">
      <c r="J92" s="35"/>
      <c r="Q92" s="36"/>
      <c r="R92" s="37"/>
      <c r="S92" s="22"/>
      <c r="T92" s="22"/>
      <c r="V92" s="23"/>
      <c r="W92" s="24"/>
      <c r="X92" s="25"/>
    </row>
    <row r="93" spans="10:24">
      <c r="J93" s="35"/>
      <c r="Q93" s="36"/>
      <c r="R93" s="37"/>
      <c r="S93" s="22"/>
      <c r="T93" s="22"/>
      <c r="V93" s="23"/>
      <c r="W93" s="24"/>
      <c r="X93" s="25"/>
    </row>
    <row r="94" spans="10:24">
      <c r="J94" s="35"/>
      <c r="Q94" s="36"/>
      <c r="R94" s="37"/>
      <c r="S94" s="22"/>
      <c r="T94" s="22"/>
      <c r="V94" s="23"/>
      <c r="W94" s="24"/>
      <c r="X94" s="25"/>
    </row>
    <row r="95" spans="10:24">
      <c r="J95" s="35"/>
      <c r="Q95" s="36"/>
      <c r="R95" s="37"/>
      <c r="S95" s="22"/>
      <c r="T95" s="22"/>
      <c r="V95" s="23"/>
      <c r="W95" s="24"/>
      <c r="X95" s="25"/>
    </row>
    <row r="96" spans="10:24">
      <c r="J96" s="35"/>
      <c r="Q96" s="36"/>
      <c r="R96" s="37"/>
      <c r="S96" s="22"/>
      <c r="T96" s="22"/>
      <c r="V96" s="23"/>
      <c r="W96" s="24"/>
      <c r="X96" s="25"/>
    </row>
    <row r="97" spans="10:24">
      <c r="J97" s="35"/>
      <c r="Q97" s="36"/>
      <c r="R97" s="37"/>
      <c r="S97" s="22"/>
      <c r="T97" s="22"/>
      <c r="V97" s="23"/>
      <c r="W97" s="24"/>
      <c r="X97" s="25"/>
    </row>
    <row r="98" spans="10:24">
      <c r="J98" s="35"/>
      <c r="Q98" s="36"/>
      <c r="R98" s="37"/>
      <c r="S98" s="22"/>
      <c r="T98" s="22"/>
      <c r="V98" s="23"/>
      <c r="W98" s="24"/>
      <c r="X98" s="25"/>
    </row>
    <row r="99" spans="10:24">
      <c r="J99" s="35"/>
      <c r="Q99" s="36"/>
      <c r="R99" s="37"/>
      <c r="S99" s="22"/>
      <c r="T99" s="22"/>
      <c r="V99" s="23"/>
      <c r="W99" s="24"/>
      <c r="X99" s="25"/>
    </row>
    <row r="100" spans="10:24">
      <c r="J100" s="35"/>
      <c r="Q100" s="36"/>
      <c r="R100" s="37"/>
      <c r="S100" s="22"/>
      <c r="T100" s="22"/>
      <c r="V100" s="23"/>
      <c r="W100" s="24"/>
      <c r="X100" s="25"/>
    </row>
    <row r="101" spans="10:24">
      <c r="J101" s="35"/>
      <c r="Q101" s="36"/>
      <c r="R101" s="37"/>
      <c r="S101" s="22"/>
      <c r="T101" s="22"/>
      <c r="V101" s="23"/>
      <c r="W101" s="24"/>
      <c r="X101" s="25"/>
    </row>
    <row r="102" spans="10:24">
      <c r="J102" s="35"/>
      <c r="Q102" s="36"/>
      <c r="R102" s="37"/>
      <c r="S102" s="22"/>
      <c r="T102" s="22"/>
      <c r="V102" s="23"/>
      <c r="W102" s="24"/>
      <c r="X102" s="25"/>
    </row>
    <row r="103" spans="10:24">
      <c r="J103" s="35"/>
      <c r="Q103" s="36"/>
      <c r="R103" s="37"/>
      <c r="S103" s="22"/>
      <c r="T103" s="22"/>
      <c r="V103" s="23"/>
      <c r="W103" s="24"/>
      <c r="X103" s="25"/>
    </row>
    <row r="104" spans="10:24">
      <c r="J104" s="35"/>
      <c r="Q104" s="36"/>
      <c r="R104" s="37"/>
      <c r="S104" s="22"/>
      <c r="T104" s="22"/>
      <c r="V104" s="23"/>
      <c r="W104" s="24"/>
      <c r="X104" s="25"/>
    </row>
    <row r="105" spans="10:24">
      <c r="J105" s="35"/>
      <c r="Q105" s="36"/>
      <c r="R105" s="37"/>
      <c r="S105" s="22"/>
      <c r="T105" s="22"/>
      <c r="V105" s="23"/>
      <c r="W105" s="24"/>
      <c r="X105" s="25"/>
    </row>
    <row r="106" spans="10:24">
      <c r="J106" s="35"/>
      <c r="Q106" s="36"/>
      <c r="R106" s="37"/>
      <c r="S106" s="22"/>
      <c r="T106" s="22"/>
      <c r="V106" s="23"/>
      <c r="W106" s="24"/>
      <c r="X106" s="25"/>
    </row>
    <row r="107" spans="10:24">
      <c r="J107" s="35"/>
      <c r="Q107" s="36"/>
      <c r="R107" s="37"/>
      <c r="S107" s="22"/>
      <c r="T107" s="22"/>
      <c r="V107" s="23"/>
      <c r="W107" s="24"/>
      <c r="X107" s="25"/>
    </row>
    <row r="108" spans="10:24">
      <c r="J108" s="35"/>
      <c r="Q108" s="36"/>
      <c r="R108" s="37"/>
      <c r="S108" s="22"/>
      <c r="T108" s="22"/>
      <c r="V108" s="23"/>
      <c r="W108" s="24"/>
      <c r="X108" s="25"/>
    </row>
    <row r="109" spans="10:24">
      <c r="J109" s="35"/>
      <c r="Q109" s="36"/>
      <c r="R109" s="37"/>
      <c r="S109" s="22"/>
      <c r="T109" s="22"/>
      <c r="V109" s="23"/>
      <c r="W109" s="24"/>
      <c r="X109" s="25"/>
    </row>
    <row r="110" spans="10:24">
      <c r="J110" s="35"/>
      <c r="Q110" s="36"/>
      <c r="R110" s="37"/>
      <c r="S110" s="22"/>
      <c r="T110" s="22"/>
      <c r="V110" s="23"/>
      <c r="W110" s="24"/>
      <c r="X110" s="25"/>
    </row>
    <row r="111" spans="10:24">
      <c r="J111" s="35"/>
      <c r="Q111" s="36"/>
      <c r="R111" s="37"/>
      <c r="S111" s="22"/>
      <c r="T111" s="22"/>
      <c r="V111" s="23"/>
      <c r="W111" s="24"/>
      <c r="X111" s="25"/>
    </row>
    <row r="112" spans="10:24">
      <c r="J112" s="35"/>
      <c r="Q112" s="36"/>
      <c r="R112" s="37"/>
      <c r="S112" s="22"/>
      <c r="T112" s="22"/>
      <c r="V112" s="23"/>
      <c r="W112" s="24"/>
      <c r="X112" s="25"/>
    </row>
    <row r="113" spans="10:24">
      <c r="J113" s="35"/>
      <c r="Q113" s="36"/>
      <c r="R113" s="37"/>
      <c r="S113" s="22"/>
      <c r="T113" s="22"/>
      <c r="V113" s="23"/>
      <c r="W113" s="24"/>
      <c r="X113" s="25"/>
    </row>
    <row r="114" spans="10:24">
      <c r="J114" s="35"/>
      <c r="Q114" s="36"/>
      <c r="R114" s="37"/>
      <c r="S114" s="22"/>
      <c r="T114" s="22"/>
      <c r="V114" s="23"/>
      <c r="W114" s="24"/>
      <c r="X114" s="25"/>
    </row>
    <row r="115" spans="10:24">
      <c r="J115" s="35"/>
      <c r="Q115" s="36"/>
      <c r="R115" s="37"/>
      <c r="S115" s="22"/>
      <c r="T115" s="22"/>
      <c r="V115" s="23"/>
      <c r="W115" s="24"/>
      <c r="X115" s="25"/>
    </row>
    <row r="116" spans="10:24">
      <c r="J116" s="35"/>
      <c r="Q116" s="36"/>
      <c r="R116" s="37"/>
      <c r="S116" s="22"/>
      <c r="T116" s="22"/>
      <c r="V116" s="23"/>
      <c r="W116" s="24"/>
      <c r="X116" s="25"/>
    </row>
    <row r="117" spans="10:24">
      <c r="J117" s="35"/>
      <c r="Q117" s="36"/>
      <c r="R117" s="37"/>
      <c r="S117" s="22"/>
      <c r="T117" s="22"/>
      <c r="V117" s="23"/>
      <c r="W117" s="24"/>
      <c r="X117" s="25"/>
    </row>
    <row r="118" spans="10:24">
      <c r="J118" s="35"/>
      <c r="Q118" s="36"/>
      <c r="R118" s="37"/>
      <c r="S118" s="22"/>
      <c r="T118" s="22"/>
      <c r="V118" s="23"/>
      <c r="W118" s="24"/>
      <c r="X118" s="25"/>
    </row>
    <row r="119" spans="10:24">
      <c r="J119" s="35"/>
      <c r="Q119" s="36"/>
      <c r="R119" s="37"/>
      <c r="S119" s="22"/>
      <c r="T119" s="22"/>
      <c r="V119" s="23"/>
      <c r="W119" s="24"/>
      <c r="X119" s="25"/>
    </row>
    <row r="120" spans="10:24">
      <c r="J120" s="35"/>
      <c r="Q120" s="36"/>
      <c r="R120" s="37"/>
      <c r="S120" s="22"/>
      <c r="T120" s="22"/>
      <c r="V120" s="23"/>
      <c r="W120" s="24"/>
      <c r="X120" s="25"/>
    </row>
    <row r="121" spans="10:24">
      <c r="J121" s="35"/>
      <c r="Q121" s="36"/>
      <c r="R121" s="37"/>
      <c r="S121" s="22"/>
      <c r="T121" s="22"/>
      <c r="V121" s="23"/>
      <c r="W121" s="24"/>
      <c r="X121" s="25"/>
    </row>
    <row r="122" spans="10:24">
      <c r="J122" s="35"/>
      <c r="Q122" s="36"/>
      <c r="R122" s="37"/>
      <c r="S122" s="22"/>
      <c r="T122" s="22"/>
      <c r="V122" s="23"/>
      <c r="W122" s="24"/>
      <c r="X122" s="25"/>
    </row>
    <row r="123" spans="10:24">
      <c r="J123" s="35"/>
      <c r="Q123" s="36"/>
      <c r="R123" s="37"/>
      <c r="S123" s="22"/>
      <c r="T123" s="22"/>
      <c r="V123" s="23"/>
      <c r="W123" s="24"/>
      <c r="X123" s="25"/>
    </row>
    <row r="124" spans="10:24">
      <c r="J124" s="35"/>
      <c r="Q124" s="36"/>
      <c r="R124" s="37"/>
      <c r="S124" s="22"/>
      <c r="T124" s="22"/>
      <c r="V124" s="23"/>
      <c r="W124" s="24"/>
      <c r="X124" s="25"/>
    </row>
    <row r="125" spans="10:24">
      <c r="J125" s="35"/>
      <c r="Q125" s="36"/>
      <c r="R125" s="37"/>
      <c r="S125" s="22"/>
      <c r="T125" s="22"/>
      <c r="V125" s="23"/>
      <c r="W125" s="24"/>
      <c r="X125" s="25"/>
    </row>
    <row r="126" spans="10:24">
      <c r="J126" s="35"/>
      <c r="Q126" s="36"/>
      <c r="R126" s="37"/>
      <c r="S126" s="22"/>
      <c r="T126" s="22"/>
      <c r="V126" s="23"/>
      <c r="W126" s="24"/>
      <c r="X126" s="25"/>
    </row>
    <row r="127" spans="10:24">
      <c r="J127" s="35"/>
      <c r="Q127" s="36"/>
      <c r="R127" s="37"/>
      <c r="S127" s="22"/>
      <c r="T127" s="22"/>
      <c r="V127" s="23"/>
      <c r="W127" s="24"/>
      <c r="X127" s="25"/>
    </row>
    <row r="128" spans="10:24">
      <c r="J128" s="35"/>
      <c r="Q128" s="36"/>
      <c r="R128" s="37"/>
      <c r="S128" s="22"/>
      <c r="T128" s="22"/>
      <c r="V128" s="23"/>
      <c r="W128" s="24"/>
      <c r="X128" s="25"/>
    </row>
    <row r="129" spans="10:24">
      <c r="J129" s="35"/>
      <c r="Q129" s="36"/>
      <c r="R129" s="37"/>
      <c r="S129" s="22"/>
      <c r="T129" s="22"/>
      <c r="V129" s="23"/>
      <c r="W129" s="24"/>
      <c r="X129" s="25"/>
    </row>
    <row r="130" spans="10:24">
      <c r="J130" s="35"/>
      <c r="Q130" s="36"/>
      <c r="R130" s="37"/>
      <c r="S130" s="22"/>
      <c r="T130" s="22"/>
      <c r="V130" s="23"/>
      <c r="W130" s="24"/>
      <c r="X130" s="25"/>
    </row>
    <row r="131" spans="10:24">
      <c r="J131" s="35"/>
      <c r="Q131" s="36"/>
      <c r="R131" s="37"/>
      <c r="S131" s="22"/>
      <c r="T131" s="22"/>
      <c r="V131" s="23"/>
      <c r="W131" s="24"/>
      <c r="X131" s="25"/>
    </row>
    <row r="132" spans="10:24">
      <c r="J132" s="35"/>
      <c r="Q132" s="36"/>
      <c r="R132" s="37"/>
      <c r="S132" s="22"/>
      <c r="T132" s="22"/>
      <c r="V132" s="23"/>
      <c r="W132" s="24"/>
      <c r="X132" s="25"/>
    </row>
    <row r="133" spans="10:24">
      <c r="J133" s="35"/>
      <c r="Q133" s="36"/>
      <c r="R133" s="37"/>
      <c r="S133" s="22"/>
      <c r="T133" s="22"/>
      <c r="V133" s="23"/>
      <c r="W133" s="24"/>
      <c r="X133" s="25"/>
    </row>
    <row r="134" spans="10:24">
      <c r="J134" s="35"/>
      <c r="Q134" s="36"/>
      <c r="R134" s="37"/>
      <c r="S134" s="22"/>
      <c r="T134" s="22"/>
      <c r="V134" s="23"/>
      <c r="W134" s="24"/>
      <c r="X134" s="25"/>
    </row>
    <row r="135" spans="10:24">
      <c r="J135" s="35"/>
      <c r="Q135" s="36"/>
      <c r="R135" s="37"/>
      <c r="S135" s="22"/>
      <c r="T135" s="22"/>
      <c r="V135" s="23"/>
      <c r="W135" s="24"/>
      <c r="X135" s="25"/>
    </row>
    <row r="136" spans="10:24">
      <c r="J136" s="35"/>
      <c r="Q136" s="36"/>
      <c r="R136" s="37"/>
      <c r="S136" s="22"/>
      <c r="T136" s="22"/>
      <c r="V136" s="23"/>
      <c r="W136" s="24"/>
      <c r="X136" s="25"/>
    </row>
    <row r="137" spans="10:24">
      <c r="J137" s="35"/>
      <c r="Q137" s="36"/>
      <c r="R137" s="37"/>
      <c r="S137" s="22"/>
      <c r="T137" s="22"/>
      <c r="V137" s="23"/>
      <c r="W137" s="24"/>
      <c r="X137" s="25"/>
    </row>
    <row r="138" spans="10:24">
      <c r="J138" s="35"/>
      <c r="Q138" s="36"/>
      <c r="R138" s="37"/>
      <c r="S138" s="22"/>
      <c r="T138" s="22"/>
      <c r="V138" s="23"/>
      <c r="W138" s="24"/>
      <c r="X138" s="25"/>
    </row>
    <row r="139" spans="10:24">
      <c r="J139" s="35"/>
      <c r="Q139" s="36"/>
      <c r="R139" s="37"/>
      <c r="S139" s="22"/>
      <c r="T139" s="22"/>
      <c r="V139" s="23"/>
      <c r="W139" s="24"/>
      <c r="X139" s="25"/>
    </row>
    <row r="140" spans="10:24">
      <c r="J140" s="35"/>
      <c r="Q140" s="36"/>
      <c r="R140" s="37"/>
      <c r="S140" s="22"/>
      <c r="T140" s="22"/>
      <c r="V140" s="23"/>
      <c r="W140" s="24"/>
      <c r="X140" s="25"/>
    </row>
    <row r="141" spans="10:24">
      <c r="J141" s="35"/>
      <c r="Q141" s="36"/>
      <c r="R141" s="37"/>
      <c r="S141" s="22"/>
      <c r="T141" s="22"/>
      <c r="V141" s="23"/>
      <c r="W141" s="24"/>
      <c r="X141" s="25"/>
    </row>
    <row r="142" spans="10:24">
      <c r="J142" s="35"/>
      <c r="Q142" s="36"/>
      <c r="R142" s="37"/>
      <c r="S142" s="22"/>
      <c r="T142" s="22"/>
      <c r="V142" s="23"/>
      <c r="W142" s="24"/>
      <c r="X142" s="25"/>
    </row>
    <row r="143" spans="10:24">
      <c r="J143" s="35"/>
      <c r="Q143" s="36"/>
      <c r="R143" s="37"/>
      <c r="S143" s="22"/>
      <c r="T143" s="22"/>
      <c r="V143" s="23"/>
      <c r="W143" s="24"/>
      <c r="X143" s="25"/>
    </row>
    <row r="144" spans="10:24">
      <c r="J144" s="35"/>
      <c r="Q144" s="36"/>
      <c r="R144" s="37"/>
      <c r="S144" s="22"/>
      <c r="T144" s="22"/>
      <c r="V144" s="23"/>
      <c r="W144" s="24"/>
      <c r="X144" s="25"/>
    </row>
    <row r="145" spans="10:24">
      <c r="J145" s="35"/>
      <c r="Q145" s="36"/>
      <c r="R145" s="37"/>
      <c r="S145" s="22"/>
      <c r="T145" s="22"/>
      <c r="V145" s="23"/>
      <c r="W145" s="24"/>
      <c r="X145" s="25"/>
    </row>
    <row r="146" spans="10:24">
      <c r="J146" s="35"/>
      <c r="Q146" s="36"/>
      <c r="R146" s="37"/>
      <c r="S146" s="22"/>
      <c r="T146" s="22"/>
      <c r="V146" s="23"/>
      <c r="W146" s="24"/>
      <c r="X146" s="25"/>
    </row>
    <row r="147" spans="10:24">
      <c r="J147" s="35"/>
      <c r="Q147" s="36"/>
      <c r="R147" s="37"/>
      <c r="S147" s="22"/>
      <c r="T147" s="22"/>
      <c r="V147" s="23"/>
      <c r="W147" s="24"/>
      <c r="X147" s="25"/>
    </row>
    <row r="148" spans="10:24">
      <c r="J148" s="35"/>
      <c r="Q148" s="36"/>
      <c r="R148" s="37"/>
      <c r="S148" s="22"/>
      <c r="T148" s="22"/>
      <c r="V148" s="23"/>
      <c r="W148" s="24"/>
      <c r="X148" s="25"/>
    </row>
    <row r="149" spans="10:24">
      <c r="J149" s="35"/>
      <c r="Q149" s="36"/>
      <c r="R149" s="37"/>
      <c r="S149" s="22"/>
      <c r="T149" s="22"/>
      <c r="V149" s="23"/>
      <c r="W149" s="24"/>
      <c r="X149" s="25"/>
    </row>
    <row r="150" spans="10:24">
      <c r="J150" s="35"/>
      <c r="Q150" s="36"/>
      <c r="R150" s="37"/>
      <c r="S150" s="22"/>
      <c r="T150" s="22"/>
      <c r="V150" s="23"/>
      <c r="W150" s="24"/>
      <c r="X150" s="25"/>
    </row>
    <row r="151" spans="10:24">
      <c r="J151" s="35"/>
      <c r="Q151" s="36"/>
      <c r="R151" s="37"/>
      <c r="S151" s="22"/>
      <c r="T151" s="22"/>
      <c r="V151" s="23"/>
      <c r="W151" s="24"/>
      <c r="X151" s="25"/>
    </row>
    <row r="152" spans="10:24">
      <c r="J152" s="35"/>
      <c r="Q152" s="36"/>
      <c r="R152" s="37"/>
      <c r="S152" s="22"/>
      <c r="T152" s="22"/>
      <c r="V152" s="23"/>
      <c r="W152" s="24"/>
      <c r="X152" s="25"/>
    </row>
    <row r="153" spans="10:24">
      <c r="J153" s="35"/>
      <c r="Q153" s="36"/>
      <c r="R153" s="37"/>
      <c r="S153" s="22"/>
      <c r="T153" s="22"/>
      <c r="V153" s="23"/>
      <c r="W153" s="24"/>
      <c r="X153" s="25"/>
    </row>
    <row r="154" spans="10:24">
      <c r="J154" s="35"/>
      <c r="Q154" s="36"/>
      <c r="R154" s="37"/>
      <c r="S154" s="22"/>
      <c r="T154" s="22"/>
      <c r="V154" s="23"/>
      <c r="W154" s="24"/>
      <c r="X154" s="25"/>
    </row>
    <row r="155" spans="10:24">
      <c r="J155" s="35"/>
      <c r="Q155" s="36"/>
      <c r="R155" s="37"/>
      <c r="S155" s="22"/>
      <c r="T155" s="22"/>
      <c r="V155" s="23"/>
      <c r="W155" s="24"/>
      <c r="X155" s="25"/>
    </row>
    <row r="156" spans="10:24">
      <c r="J156" s="35"/>
      <c r="Q156" s="36"/>
      <c r="R156" s="37"/>
      <c r="S156" s="22"/>
      <c r="T156" s="22"/>
      <c r="V156" s="23"/>
      <c r="W156" s="24"/>
      <c r="X156" s="25"/>
    </row>
    <row r="157" spans="10:24">
      <c r="J157" s="35"/>
      <c r="Q157" s="36"/>
      <c r="R157" s="37"/>
      <c r="S157" s="22"/>
      <c r="T157" s="22"/>
      <c r="V157" s="23"/>
      <c r="W157" s="24"/>
      <c r="X157" s="25"/>
    </row>
    <row r="158" spans="10:24">
      <c r="J158" s="35"/>
      <c r="Q158" s="36"/>
      <c r="R158" s="37"/>
      <c r="S158" s="22"/>
      <c r="T158" s="22"/>
      <c r="V158" s="23"/>
      <c r="W158" s="24"/>
      <c r="X158" s="25"/>
    </row>
    <row r="159" spans="10:24">
      <c r="J159" s="35"/>
      <c r="Q159" s="36"/>
      <c r="R159" s="37"/>
      <c r="S159" s="22"/>
      <c r="T159" s="22"/>
      <c r="V159" s="23"/>
      <c r="W159" s="24"/>
      <c r="X159" s="25"/>
    </row>
    <row r="160" spans="10:24">
      <c r="J160" s="35"/>
      <c r="Q160" s="36"/>
      <c r="R160" s="37"/>
      <c r="S160" s="22"/>
      <c r="T160" s="22"/>
      <c r="V160" s="23"/>
      <c r="W160" s="24"/>
      <c r="X160" s="25"/>
    </row>
    <row r="161" spans="10:24">
      <c r="J161" s="35"/>
      <c r="Q161" s="36"/>
      <c r="R161" s="37"/>
      <c r="S161" s="22"/>
      <c r="T161" s="22"/>
      <c r="V161" s="23"/>
      <c r="W161" s="24"/>
      <c r="X161" s="25"/>
    </row>
    <row r="162" spans="10:24">
      <c r="J162" s="35"/>
      <c r="Q162" s="36"/>
      <c r="R162" s="37"/>
      <c r="S162" s="22"/>
      <c r="T162" s="22"/>
      <c r="V162" s="23"/>
      <c r="W162" s="24"/>
      <c r="X162" s="25"/>
    </row>
    <row r="163" spans="10:24">
      <c r="J163" s="35"/>
      <c r="Q163" s="36"/>
      <c r="R163" s="37"/>
      <c r="S163" s="22"/>
      <c r="T163" s="22"/>
      <c r="V163" s="23"/>
      <c r="W163" s="24"/>
      <c r="X163" s="25"/>
    </row>
    <row r="164" spans="10:24">
      <c r="J164" s="35"/>
      <c r="Q164" s="36"/>
      <c r="R164" s="37"/>
      <c r="S164" s="22"/>
      <c r="T164" s="22"/>
      <c r="V164" s="23"/>
      <c r="W164" s="24"/>
      <c r="X164" s="25"/>
    </row>
    <row r="165" spans="10:24">
      <c r="J165" s="35"/>
      <c r="Q165" s="36"/>
      <c r="R165" s="37"/>
      <c r="S165" s="22"/>
      <c r="T165" s="22"/>
      <c r="V165" s="23"/>
      <c r="W165" s="24"/>
      <c r="X165" s="25"/>
    </row>
    <row r="166" spans="10:24">
      <c r="J166" s="35"/>
      <c r="Q166" s="36"/>
      <c r="R166" s="37"/>
      <c r="S166" s="22"/>
      <c r="T166" s="22"/>
      <c r="V166" s="23"/>
      <c r="W166" s="24"/>
      <c r="X166" s="25"/>
    </row>
    <row r="167" spans="10:24">
      <c r="J167" s="35"/>
      <c r="Q167" s="36"/>
      <c r="R167" s="37"/>
      <c r="S167" s="22"/>
      <c r="T167" s="22"/>
      <c r="V167" s="23"/>
      <c r="W167" s="24"/>
      <c r="X167" s="25"/>
    </row>
    <row r="168" spans="10:24">
      <c r="J168" s="35"/>
      <c r="Q168" s="36"/>
      <c r="R168" s="37"/>
      <c r="S168" s="22"/>
      <c r="T168" s="22"/>
      <c r="V168" s="23"/>
      <c r="W168" s="24"/>
      <c r="X168" s="25"/>
    </row>
    <row r="169" spans="10:24">
      <c r="J169" s="35"/>
      <c r="Q169" s="36"/>
      <c r="R169" s="37"/>
      <c r="S169" s="22"/>
      <c r="T169" s="22"/>
      <c r="V169" s="23"/>
      <c r="W169" s="24"/>
      <c r="X169" s="25"/>
    </row>
    <row r="170" spans="10:24">
      <c r="J170" s="35"/>
      <c r="Q170" s="36"/>
      <c r="R170" s="37"/>
      <c r="S170" s="22"/>
      <c r="T170" s="22"/>
      <c r="V170" s="23"/>
      <c r="W170" s="24"/>
      <c r="X170" s="25"/>
    </row>
    <row r="171" spans="10:24">
      <c r="J171" s="35"/>
      <c r="Q171" s="36"/>
      <c r="R171" s="37"/>
      <c r="S171" s="22"/>
      <c r="T171" s="22"/>
      <c r="V171" s="23"/>
      <c r="W171" s="24"/>
      <c r="X171" s="25"/>
    </row>
    <row r="172" spans="10:24">
      <c r="J172" s="35"/>
      <c r="Q172" s="36"/>
      <c r="R172" s="37"/>
      <c r="S172" s="22"/>
      <c r="T172" s="22"/>
      <c r="V172" s="23"/>
      <c r="W172" s="24"/>
      <c r="X172" s="25"/>
    </row>
    <row r="173" spans="10:24">
      <c r="J173" s="35"/>
      <c r="Q173" s="36"/>
      <c r="R173" s="37"/>
      <c r="S173" s="22"/>
      <c r="T173" s="22"/>
      <c r="V173" s="23"/>
      <c r="W173" s="24"/>
      <c r="X173" s="25"/>
    </row>
    <row r="174" spans="10:24">
      <c r="J174" s="35"/>
      <c r="Q174" s="36"/>
      <c r="R174" s="37"/>
      <c r="S174" s="22"/>
      <c r="T174" s="22"/>
      <c r="V174" s="23"/>
      <c r="W174" s="24"/>
      <c r="X174" s="25"/>
    </row>
    <row r="175" spans="10:24">
      <c r="J175" s="35"/>
      <c r="Q175" s="36"/>
      <c r="R175" s="37"/>
      <c r="S175" s="22"/>
      <c r="T175" s="22"/>
      <c r="V175" s="23"/>
      <c r="W175" s="24"/>
      <c r="X175" s="25"/>
    </row>
    <row r="176" spans="10:24">
      <c r="J176" s="35"/>
      <c r="Q176" s="36"/>
      <c r="R176" s="37"/>
      <c r="S176" s="22"/>
      <c r="T176" s="22"/>
      <c r="V176" s="23"/>
      <c r="W176" s="24"/>
      <c r="X176" s="25"/>
    </row>
    <row r="177" spans="10:24">
      <c r="J177" s="35"/>
      <c r="Q177" s="36"/>
      <c r="R177" s="37"/>
      <c r="S177" s="22"/>
      <c r="T177" s="22"/>
      <c r="V177" s="23"/>
      <c r="W177" s="24"/>
      <c r="X177" s="25"/>
    </row>
    <row r="178" spans="10:24">
      <c r="J178" s="35"/>
      <c r="Q178" s="36"/>
      <c r="R178" s="37"/>
      <c r="S178" s="22"/>
      <c r="T178" s="22"/>
      <c r="V178" s="23"/>
      <c r="W178" s="24"/>
      <c r="X178" s="25"/>
    </row>
    <row r="179" spans="10:24">
      <c r="J179" s="35"/>
      <c r="Q179" s="36"/>
      <c r="R179" s="37"/>
      <c r="S179" s="22"/>
      <c r="T179" s="22"/>
      <c r="V179" s="23"/>
      <c r="W179" s="24"/>
      <c r="X179" s="25"/>
    </row>
    <row r="180" spans="10:24">
      <c r="J180" s="35"/>
      <c r="Q180" s="36"/>
      <c r="R180" s="37"/>
      <c r="S180" s="22"/>
      <c r="T180" s="22"/>
      <c r="V180" s="23"/>
      <c r="W180" s="24"/>
      <c r="X180" s="25"/>
    </row>
    <row r="181" spans="10:24">
      <c r="J181" s="35"/>
      <c r="Q181" s="36"/>
      <c r="R181" s="37"/>
      <c r="S181" s="22"/>
      <c r="T181" s="22"/>
      <c r="V181" s="23"/>
      <c r="W181" s="24"/>
      <c r="X181" s="25"/>
    </row>
    <row r="182" spans="10:24">
      <c r="J182" s="35"/>
      <c r="Q182" s="36"/>
      <c r="R182" s="37"/>
      <c r="S182" s="22"/>
      <c r="T182" s="22"/>
      <c r="V182" s="23"/>
      <c r="W182" s="24"/>
      <c r="X182" s="25"/>
    </row>
    <row r="183" spans="10:24">
      <c r="J183" s="35"/>
      <c r="Q183" s="36"/>
      <c r="R183" s="37"/>
      <c r="S183" s="22"/>
      <c r="T183" s="22"/>
      <c r="V183" s="23"/>
      <c r="W183" s="24"/>
      <c r="X183" s="25"/>
    </row>
    <row r="184" spans="10:24">
      <c r="J184" s="35"/>
      <c r="Q184" s="36"/>
      <c r="R184" s="37"/>
      <c r="S184" s="22"/>
      <c r="T184" s="22"/>
      <c r="V184" s="23"/>
      <c r="W184" s="24"/>
      <c r="X184" s="25"/>
    </row>
    <row r="185" spans="10:24">
      <c r="J185" s="35"/>
      <c r="Q185" s="36"/>
      <c r="R185" s="37"/>
      <c r="S185" s="22"/>
      <c r="T185" s="22"/>
      <c r="V185" s="23"/>
      <c r="W185" s="24"/>
      <c r="X185" s="25"/>
    </row>
    <row r="186" spans="10:24">
      <c r="J186" s="35"/>
      <c r="Q186" s="36"/>
      <c r="R186" s="37"/>
      <c r="S186" s="22"/>
      <c r="T186" s="22"/>
      <c r="V186" s="23"/>
      <c r="W186" s="24"/>
      <c r="X186" s="25"/>
    </row>
    <row r="187" spans="10:24">
      <c r="J187" s="35"/>
      <c r="Q187" s="36"/>
      <c r="R187" s="37"/>
      <c r="S187" s="22"/>
      <c r="T187" s="22"/>
      <c r="V187" s="23"/>
      <c r="W187" s="24"/>
      <c r="X187" s="25"/>
    </row>
    <row r="188" spans="10:24">
      <c r="J188" s="35"/>
      <c r="Q188" s="36"/>
      <c r="R188" s="37"/>
      <c r="S188" s="22"/>
      <c r="T188" s="22"/>
      <c r="V188" s="23"/>
      <c r="W188" s="24"/>
      <c r="X188" s="25"/>
    </row>
    <row r="189" spans="10:24">
      <c r="J189" s="35"/>
      <c r="Q189" s="36"/>
      <c r="R189" s="37"/>
      <c r="S189" s="22"/>
      <c r="T189" s="22"/>
      <c r="V189" s="23"/>
      <c r="W189" s="24"/>
      <c r="X189" s="25"/>
    </row>
  </sheetData>
  <autoFilter ref="A1:Z189">
    <sortState ref="A2:Z189">
      <sortCondition ref="Y1:Y3"/>
      <sortCondition ref="Z1:Z3"/>
    </sortState>
  </autoFilter>
  <sortState ref="A2:Z2">
    <sortCondition ref="Y2"/>
    <sortCondition ref="Z2"/>
  </sortState>
  <phoneticPr fontId="38" type="noConversion"/>
  <conditionalFormatting sqref="J1">
    <cfRule type="duplicateValues" dxfId="116" priority="2"/>
  </conditionalFormatting>
  <conditionalFormatting sqref="C1:C2">
    <cfRule type="duplicateValues" dxfId="115" priority="1"/>
  </conditionalFormatting>
  <conditionalFormatting sqref="J2:J189">
    <cfRule type="duplicateValues" dxfId="114" priority="23"/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L111"/>
  <sheetViews>
    <sheetView zoomScale="85" zoomScaleNormal="85" workbookViewId="0">
      <selection activeCell="A2" sqref="A2"/>
    </sheetView>
  </sheetViews>
  <sheetFormatPr defaultRowHeight="12.75"/>
  <cols>
    <col min="1" max="1" width="10.7109375" style="7" bestFit="1" customWidth="1"/>
    <col min="2" max="2" width="10.7109375" style="7" customWidth="1"/>
    <col min="3" max="3" width="9.140625" style="7" bestFit="1" customWidth="1"/>
    <col min="4" max="4" width="12.140625" style="7" bestFit="1" customWidth="1"/>
    <col min="5" max="5" width="13" style="7" bestFit="1" customWidth="1"/>
    <col min="6" max="6" width="21.7109375" customWidth="1"/>
  </cols>
  <sheetData>
    <row r="1" spans="1:8" ht="25.5">
      <c r="A1" s="5" t="s">
        <v>25</v>
      </c>
      <c r="B1" s="6" t="s">
        <v>26</v>
      </c>
      <c r="C1" s="6" t="s">
        <v>27</v>
      </c>
      <c r="D1" s="6" t="s">
        <v>28</v>
      </c>
      <c r="E1" s="6" t="s">
        <v>29</v>
      </c>
      <c r="G1" s="1"/>
      <c r="H1" s="1"/>
    </row>
    <row r="2" spans="1:8">
      <c r="A2" s="1"/>
      <c r="B2" s="1"/>
      <c r="C2" s="1"/>
      <c r="D2" s="1"/>
      <c r="E2" s="1"/>
    </row>
    <row r="3" spans="1:8">
      <c r="A3" s="1"/>
      <c r="B3" s="1"/>
      <c r="C3" s="1"/>
      <c r="D3" s="1"/>
      <c r="E3" s="1"/>
    </row>
    <row r="4" spans="1:8">
      <c r="A4" s="1"/>
      <c r="B4" s="1"/>
      <c r="C4" s="1"/>
      <c r="D4" s="1"/>
      <c r="E4" s="1"/>
    </row>
    <row r="5" spans="1:8">
      <c r="A5" s="1"/>
      <c r="B5" s="1"/>
      <c r="C5" s="1"/>
      <c r="D5" s="1"/>
      <c r="E5" s="1"/>
    </row>
    <row r="6" spans="1:8">
      <c r="A6" s="1"/>
      <c r="B6" s="1"/>
      <c r="C6" s="1"/>
      <c r="D6" s="1"/>
      <c r="E6" s="1"/>
    </row>
    <row r="7" spans="1:8">
      <c r="A7" s="1"/>
      <c r="B7" s="1"/>
      <c r="C7" s="1"/>
      <c r="D7" s="1"/>
      <c r="E7" s="1"/>
    </row>
    <row r="8" spans="1:8">
      <c r="A8" s="1"/>
      <c r="B8" s="1"/>
      <c r="C8" s="1"/>
      <c r="D8" s="1"/>
      <c r="E8" s="1"/>
    </row>
    <row r="9" spans="1:8">
      <c r="A9" s="1"/>
      <c r="B9" s="1"/>
      <c r="C9" s="1"/>
      <c r="D9" s="1"/>
      <c r="E9" s="1"/>
    </row>
    <row r="10" spans="1:8">
      <c r="A10" s="1"/>
      <c r="B10" s="1"/>
      <c r="C10" s="1"/>
      <c r="D10" s="1"/>
      <c r="E10" s="1"/>
    </row>
    <row r="11" spans="1:8">
      <c r="A11" s="1"/>
      <c r="B11" s="1"/>
      <c r="C11" s="1"/>
      <c r="D11" s="1"/>
      <c r="E11" s="1"/>
    </row>
    <row r="12" spans="1:8">
      <c r="A12" s="1"/>
      <c r="B12" s="1"/>
      <c r="C12" s="1"/>
      <c r="D12" s="1"/>
      <c r="E12" s="1"/>
    </row>
    <row r="13" spans="1:8">
      <c r="A13" s="1"/>
      <c r="B13" s="1"/>
      <c r="C13" s="1"/>
      <c r="D13" s="1"/>
      <c r="E13" s="1"/>
    </row>
    <row r="14" spans="1:8">
      <c r="A14" s="1"/>
      <c r="B14" s="1"/>
      <c r="C14" s="1"/>
      <c r="D14" s="1"/>
      <c r="E14" s="1"/>
    </row>
    <row r="15" spans="1:8">
      <c r="A15" s="1"/>
      <c r="B15" s="1"/>
      <c r="C15" s="1"/>
      <c r="D15" s="1"/>
      <c r="E15" s="1"/>
    </row>
    <row r="16" spans="1:8">
      <c r="A16" s="1"/>
      <c r="B16" s="1"/>
      <c r="C16" s="1"/>
      <c r="D16" s="1"/>
      <c r="E16" s="1"/>
    </row>
    <row r="17" spans="1:6">
      <c r="A17" s="1"/>
      <c r="B17" s="1"/>
      <c r="C17" s="1"/>
      <c r="D17" s="1"/>
      <c r="E17" s="1"/>
    </row>
    <row r="18" spans="1:6">
      <c r="A18" s="1"/>
      <c r="B18" s="1"/>
      <c r="C18" s="1"/>
      <c r="D18" s="1"/>
      <c r="E18" s="1"/>
    </row>
    <row r="19" spans="1:6">
      <c r="A19" s="1"/>
      <c r="B19" s="1"/>
      <c r="C19" s="1"/>
      <c r="D19" s="1"/>
      <c r="E19" s="1"/>
    </row>
    <row r="20" spans="1:6">
      <c r="A20" s="1"/>
      <c r="B20" s="1"/>
      <c r="C20" s="1"/>
      <c r="D20" s="1"/>
      <c r="E20" s="1"/>
    </row>
    <row r="21" spans="1:6">
      <c r="A21" s="1"/>
      <c r="B21" s="1"/>
      <c r="C21" s="1"/>
      <c r="D21" s="1"/>
      <c r="E21" s="1"/>
      <c r="F21" s="1"/>
    </row>
    <row r="22" spans="1:6">
      <c r="A22" s="1"/>
      <c r="B22" s="1"/>
      <c r="C22" s="1"/>
      <c r="D22" s="1"/>
      <c r="E22" s="1"/>
    </row>
    <row r="23" spans="1:6">
      <c r="A23" s="1"/>
      <c r="B23" s="1"/>
      <c r="C23" s="1"/>
      <c r="D23" s="1"/>
      <c r="E23" s="1"/>
    </row>
    <row r="24" spans="1:6">
      <c r="A24" s="1"/>
      <c r="B24" s="1"/>
      <c r="C24" s="1"/>
      <c r="D24" s="1"/>
      <c r="E24" s="1"/>
    </row>
    <row r="25" spans="1:6">
      <c r="A25" s="1"/>
      <c r="B25" s="1"/>
      <c r="C25" s="1"/>
      <c r="D25" s="1"/>
      <c r="E25" s="1"/>
    </row>
    <row r="26" spans="1:6">
      <c r="A26" s="1"/>
      <c r="B26" s="1"/>
      <c r="C26" s="1"/>
      <c r="D26" s="1"/>
      <c r="E26" s="1"/>
    </row>
    <row r="27" spans="1:6">
      <c r="A27" s="1"/>
      <c r="B27" s="1"/>
      <c r="C27" s="1"/>
      <c r="D27" s="1"/>
      <c r="E27" s="1"/>
    </row>
    <row r="28" spans="1:6">
      <c r="A28" s="1"/>
      <c r="B28" s="1"/>
      <c r="C28" s="1"/>
      <c r="D28" s="1"/>
      <c r="E28" s="1"/>
    </row>
    <row r="29" spans="1:6">
      <c r="A29" s="1"/>
      <c r="B29" s="1"/>
      <c r="C29" s="1"/>
      <c r="D29" s="1"/>
      <c r="E29" s="1"/>
    </row>
    <row r="30" spans="1:6">
      <c r="A30" s="1"/>
      <c r="B30" s="1"/>
      <c r="C30" s="1"/>
      <c r="D30" s="1"/>
      <c r="E30" s="1"/>
    </row>
    <row r="31" spans="1:6">
      <c r="A31" s="1"/>
      <c r="B31" s="1"/>
      <c r="C31" s="1"/>
      <c r="D31" s="1"/>
      <c r="E31" s="1"/>
    </row>
    <row r="32" spans="1:6">
      <c r="A32" s="1"/>
      <c r="B32" s="1"/>
      <c r="C32" s="1"/>
      <c r="D32" s="1"/>
      <c r="E32" s="1"/>
    </row>
    <row r="33" spans="1:6">
      <c r="A33" s="1"/>
      <c r="B33" s="1"/>
      <c r="C33" s="1"/>
      <c r="D33" s="1"/>
      <c r="E33" s="1"/>
    </row>
    <row r="34" spans="1:6">
      <c r="A34" s="1"/>
      <c r="B34" s="1"/>
      <c r="C34" s="1"/>
      <c r="D34" s="1"/>
      <c r="E34" s="1"/>
    </row>
    <row r="35" spans="1:6">
      <c r="A35" s="1"/>
      <c r="B35" s="1"/>
      <c r="C35" s="1"/>
      <c r="D35" s="1"/>
      <c r="E35" s="1"/>
    </row>
    <row r="36" spans="1:6">
      <c r="A36" s="1"/>
      <c r="B36" s="1"/>
      <c r="C36" s="1"/>
      <c r="D36" s="1"/>
      <c r="E36" s="1"/>
    </row>
    <row r="37" spans="1:6">
      <c r="A37" s="1"/>
      <c r="B37" s="1"/>
      <c r="C37" s="1"/>
      <c r="D37" s="1"/>
      <c r="E37" s="1"/>
    </row>
    <row r="38" spans="1:6">
      <c r="A38" s="1"/>
      <c r="B38" s="1"/>
      <c r="C38" s="1"/>
      <c r="D38" s="1"/>
      <c r="E38" s="1"/>
    </row>
    <row r="39" spans="1:6">
      <c r="A39" s="1"/>
      <c r="B39" s="1"/>
      <c r="C39" s="1"/>
      <c r="D39" s="1"/>
      <c r="E39" s="1"/>
    </row>
    <row r="40" spans="1:6">
      <c r="A40" s="1"/>
      <c r="B40" s="1"/>
      <c r="C40" s="1"/>
      <c r="D40" s="1"/>
      <c r="E40" s="1"/>
    </row>
    <row r="41" spans="1:6">
      <c r="A41" s="1"/>
      <c r="B41" s="1"/>
      <c r="C41" s="1"/>
      <c r="D41" s="1"/>
      <c r="E41" s="1"/>
      <c r="F41" s="1"/>
    </row>
    <row r="42" spans="1:6">
      <c r="A42" s="1"/>
      <c r="B42" s="1"/>
      <c r="C42" s="1"/>
      <c r="D42" s="1"/>
      <c r="E42" s="1"/>
    </row>
    <row r="43" spans="1:6">
      <c r="A43" s="1"/>
      <c r="B43" s="1"/>
      <c r="C43" s="1"/>
      <c r="D43" s="1"/>
      <c r="E43" s="1"/>
    </row>
    <row r="44" spans="1:6">
      <c r="A44" s="1"/>
      <c r="B44" s="1"/>
      <c r="C44" s="1"/>
      <c r="D44" s="1"/>
      <c r="E44" s="1"/>
    </row>
    <row r="45" spans="1:6">
      <c r="A45" s="1"/>
      <c r="B45" s="1"/>
      <c r="C45" s="1"/>
      <c r="D45" s="1"/>
      <c r="E45" s="1"/>
    </row>
    <row r="46" spans="1:6">
      <c r="A46" s="1"/>
      <c r="B46" s="1"/>
      <c r="C46" s="1"/>
      <c r="D46" s="1"/>
      <c r="E46" s="1"/>
    </row>
    <row r="47" spans="1:6">
      <c r="A47" s="1"/>
      <c r="B47" s="1"/>
      <c r="C47" s="1"/>
      <c r="D47" s="1"/>
      <c r="E47" s="1"/>
    </row>
    <row r="48" spans="1:6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  <row r="71" spans="1:5">
      <c r="A71" s="1"/>
      <c r="B71" s="1"/>
      <c r="C71" s="1"/>
      <c r="D71" s="1"/>
      <c r="E71" s="1"/>
    </row>
    <row r="72" spans="1:5">
      <c r="A72" s="1"/>
      <c r="B72" s="1"/>
      <c r="C72" s="1"/>
      <c r="D72" s="1"/>
      <c r="E72" s="1"/>
    </row>
    <row r="73" spans="1:5">
      <c r="A73" s="1"/>
      <c r="B73" s="1"/>
      <c r="C73" s="1"/>
      <c r="D73" s="1"/>
      <c r="E73" s="1"/>
    </row>
    <row r="74" spans="1:5">
      <c r="A74" s="1"/>
      <c r="B74" s="1"/>
      <c r="C74" s="1"/>
      <c r="D74" s="1"/>
      <c r="E74" s="1"/>
    </row>
    <row r="75" spans="1:5">
      <c r="A75" s="1"/>
      <c r="B75" s="1"/>
      <c r="C75" s="1"/>
      <c r="D75" s="1"/>
      <c r="E75" s="1"/>
    </row>
    <row r="76" spans="1:5">
      <c r="A76" s="1"/>
      <c r="B76" s="1"/>
      <c r="C76" s="1"/>
      <c r="D76" s="1"/>
      <c r="E76" s="1"/>
    </row>
    <row r="77" spans="1:5">
      <c r="A77" s="1"/>
      <c r="B77" s="1"/>
      <c r="C77" s="1"/>
      <c r="D77" s="1"/>
      <c r="E77" s="1"/>
    </row>
    <row r="78" spans="1:5">
      <c r="A78" s="1"/>
      <c r="B78" s="1"/>
      <c r="C78" s="1"/>
      <c r="D78" s="1"/>
      <c r="E78" s="1"/>
    </row>
    <row r="79" spans="1:5">
      <c r="A79" s="1"/>
      <c r="B79" s="1"/>
      <c r="C79" s="1"/>
      <c r="D79" s="1"/>
      <c r="E79" s="1"/>
    </row>
    <row r="80" spans="1:5">
      <c r="A80" s="1"/>
      <c r="B80" s="1"/>
      <c r="C80" s="1"/>
      <c r="D80" s="1"/>
      <c r="E80" s="1"/>
    </row>
    <row r="81" spans="1:12">
      <c r="A81" s="1"/>
      <c r="B81" s="1"/>
      <c r="C81" s="1"/>
      <c r="D81" s="1"/>
      <c r="E81" s="1"/>
    </row>
    <row r="82" spans="1:12">
      <c r="A82" s="1"/>
      <c r="B82" s="1"/>
      <c r="C82" s="1"/>
      <c r="D82" s="1"/>
      <c r="E82" s="1"/>
    </row>
    <row r="83" spans="1:12">
      <c r="A83" s="1"/>
      <c r="B83" s="1"/>
      <c r="C83" s="1"/>
      <c r="D83" s="1"/>
      <c r="E83" s="1"/>
    </row>
    <row r="84" spans="1:12">
      <c r="A84" s="1"/>
      <c r="B84" s="1"/>
      <c r="C84" s="1"/>
      <c r="D84" s="1"/>
      <c r="E84" s="1"/>
    </row>
    <row r="85" spans="1:12">
      <c r="A85" s="1"/>
      <c r="B85" s="1"/>
      <c r="C85" s="1"/>
      <c r="D85" s="1"/>
      <c r="E85" s="1"/>
    </row>
    <row r="86" spans="1:12">
      <c r="A86" s="1"/>
      <c r="B86" s="1"/>
      <c r="C86" s="1"/>
      <c r="D86" s="1"/>
      <c r="E86" s="1"/>
    </row>
    <row r="87" spans="1:12">
      <c r="A87" s="1"/>
      <c r="B87" s="1"/>
      <c r="C87" s="1"/>
      <c r="D87" s="1"/>
      <c r="E87" s="1"/>
      <c r="K87" s="1"/>
    </row>
    <row r="88" spans="1:12">
      <c r="A88" s="1"/>
      <c r="B88" s="1"/>
      <c r="C88" s="1"/>
      <c r="D88" s="1"/>
      <c r="E88" s="1"/>
    </row>
    <row r="89" spans="1:12">
      <c r="A89" s="1"/>
      <c r="B89" s="1"/>
      <c r="C89" s="1"/>
      <c r="D89" s="1"/>
      <c r="E89" s="1"/>
    </row>
    <row r="90" spans="1:12">
      <c r="A90" s="1"/>
      <c r="B90" s="1"/>
      <c r="C90" s="1"/>
      <c r="D90" s="1"/>
      <c r="E90" s="1"/>
    </row>
    <row r="91" spans="1:12">
      <c r="A91" s="1"/>
      <c r="B91" s="1"/>
      <c r="C91" s="1"/>
      <c r="D91" s="1"/>
      <c r="E91" s="1"/>
    </row>
    <row r="92" spans="1:12">
      <c r="A92" s="1"/>
      <c r="B92" s="1"/>
      <c r="C92" s="1"/>
      <c r="D92" s="1"/>
      <c r="E92" s="1"/>
    </row>
    <row r="93" spans="1:12">
      <c r="A93" s="1"/>
      <c r="B93" s="1"/>
      <c r="C93" s="1"/>
      <c r="D93" s="1"/>
      <c r="E93" s="1"/>
    </row>
    <row r="94" spans="1:12">
      <c r="A94" s="1"/>
      <c r="B94" s="1"/>
      <c r="C94" s="1"/>
      <c r="D94" s="1"/>
      <c r="E94" s="1"/>
    </row>
    <row r="95" spans="1:12">
      <c r="A95" s="1"/>
      <c r="B95" s="1"/>
      <c r="C95" s="1"/>
      <c r="D95" s="1"/>
      <c r="E95" s="1"/>
      <c r="L95" s="1"/>
    </row>
    <row r="96" spans="1:12">
      <c r="A96" s="1"/>
      <c r="B96" s="1"/>
      <c r="C96" s="1"/>
      <c r="D96" s="1"/>
      <c r="E96" s="1"/>
    </row>
    <row r="97" spans="1:6">
      <c r="A97" s="1"/>
      <c r="B97" s="1"/>
      <c r="C97" s="1"/>
      <c r="D97" s="1"/>
      <c r="E97" s="1"/>
    </row>
    <row r="98" spans="1:6">
      <c r="A98" s="1"/>
      <c r="B98" s="1"/>
      <c r="C98" s="1"/>
      <c r="D98" s="1"/>
      <c r="E98" s="1"/>
    </row>
    <row r="99" spans="1:6">
      <c r="A99" s="1"/>
      <c r="B99" s="1"/>
      <c r="C99" s="1"/>
      <c r="D99" s="1"/>
      <c r="E99" s="1"/>
    </row>
    <row r="100" spans="1:6">
      <c r="A100" s="1"/>
      <c r="B100" s="1"/>
      <c r="C100" s="1"/>
      <c r="D100" s="1"/>
      <c r="E100" s="1"/>
    </row>
    <row r="101" spans="1:6">
      <c r="A101" s="1"/>
      <c r="B101" s="1"/>
      <c r="C101" s="1"/>
      <c r="D101" s="1"/>
      <c r="E101" s="1"/>
    </row>
    <row r="102" spans="1:6">
      <c r="A102" s="1"/>
      <c r="B102" s="1"/>
      <c r="C102" s="1"/>
      <c r="D102" s="1"/>
      <c r="E102" s="1"/>
    </row>
    <row r="103" spans="1:6">
      <c r="A103" s="1"/>
      <c r="B103" s="1"/>
      <c r="C103" s="1"/>
      <c r="D103" s="1"/>
      <c r="E103" s="1"/>
    </row>
    <row r="104" spans="1:6">
      <c r="A104" s="1"/>
      <c r="B104" s="1"/>
      <c r="C104" s="1"/>
      <c r="D104" s="1"/>
      <c r="E104" s="1"/>
    </row>
    <row r="105" spans="1:6">
      <c r="A105" s="1"/>
      <c r="B105" s="1"/>
      <c r="C105" s="1"/>
      <c r="D105" s="1"/>
      <c r="E105" s="1"/>
    </row>
    <row r="106" spans="1:6">
      <c r="A106" s="1"/>
      <c r="B106" s="1"/>
      <c r="C106" s="1"/>
      <c r="D106" s="1"/>
      <c r="E106" s="1"/>
    </row>
    <row r="107" spans="1:6">
      <c r="A107" s="1"/>
      <c r="B107" s="1"/>
      <c r="C107" s="1"/>
      <c r="D107" s="1"/>
      <c r="E107" s="1"/>
    </row>
    <row r="108" spans="1:6">
      <c r="A108" s="1"/>
      <c r="B108" s="1"/>
      <c r="C108" s="1"/>
      <c r="D108" s="1"/>
      <c r="E108" s="1"/>
    </row>
    <row r="109" spans="1:6">
      <c r="A109" s="1"/>
      <c r="B109" s="1"/>
      <c r="C109" s="1"/>
      <c r="D109" s="1"/>
      <c r="E109" s="1"/>
    </row>
    <row r="110" spans="1:6">
      <c r="B110" s="1" t="s">
        <v>0</v>
      </c>
      <c r="C110" s="1" t="s">
        <v>0</v>
      </c>
      <c r="E110" s="1">
        <v>1</v>
      </c>
      <c r="F110" s="1"/>
    </row>
    <row r="111" spans="1:6">
      <c r="F111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Normal.dotm</Templat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MACRO</vt:lpstr>
      <vt:lpstr>Summary</vt:lpstr>
      <vt:lpstr>Blocked for payment_details</vt:lpstr>
      <vt:lpstr>EX.RATES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Szymczyk, Dymitr</dc:creator>
  <cp:lastModifiedBy>Użytkownik systemu Windows</cp:lastModifiedBy>
  <cp:revision>1</cp:revision>
  <dcterms:created xsi:type="dcterms:W3CDTF">2016-03-07T11:57:36Z</dcterms:created>
  <dcterms:modified xsi:type="dcterms:W3CDTF">2024-01-27T14:04:31Z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795725-52d2-44ec-87ed-8b3b9e2ed4e5_Enabled">
    <vt:lpwstr>true</vt:lpwstr>
  </property>
  <property fmtid="{D5CDD505-2E9C-101B-9397-08002B2CF9AE}" pid="3" name="MSIP_Label_9e795725-52d2-44ec-87ed-8b3b9e2ed4e5_SetDate">
    <vt:lpwstr>2022-02-05T19:48:29Z</vt:lpwstr>
  </property>
  <property fmtid="{D5CDD505-2E9C-101B-9397-08002B2CF9AE}" pid="4" name="MSIP_Label_9e795725-52d2-44ec-87ed-8b3b9e2ed4e5_Method">
    <vt:lpwstr>Standard</vt:lpwstr>
  </property>
  <property fmtid="{D5CDD505-2E9C-101B-9397-08002B2CF9AE}" pid="5" name="MSIP_Label_9e795725-52d2-44ec-87ed-8b3b9e2ed4e5_Name">
    <vt:lpwstr>Internal</vt:lpwstr>
  </property>
  <property fmtid="{D5CDD505-2E9C-101B-9397-08002B2CF9AE}" pid="6" name="MSIP_Label_9e795725-52d2-44ec-87ed-8b3b9e2ed4e5_SiteId">
    <vt:lpwstr>a10ba484-6331-40ee-b0ab-cb737ca60a80</vt:lpwstr>
  </property>
  <property fmtid="{D5CDD505-2E9C-101B-9397-08002B2CF9AE}" pid="7" name="MSIP_Label_9e795725-52d2-44ec-87ed-8b3b9e2ed4e5_ActionId">
    <vt:lpwstr>44abd023-e2bf-44d3-b0bf-7605a2570ea5</vt:lpwstr>
  </property>
  <property fmtid="{D5CDD505-2E9C-101B-9397-08002B2CF9AE}" pid="8" name="MSIP_Label_9e795725-52d2-44ec-87ed-8b3b9e2ed4e5_ContentBits">
    <vt:lpwstr>0</vt:lpwstr>
  </property>
</Properties>
</file>