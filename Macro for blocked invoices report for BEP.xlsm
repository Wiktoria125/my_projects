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105" yWindow="-105" windowWidth="19425" windowHeight="11505"/>
  </bookViews>
  <sheets>
    <sheet name="MACRO" sheetId="60" r:id="rId1"/>
    <sheet name="Summary" sheetId="53" r:id="rId2"/>
    <sheet name="Blocked for payment_details" sheetId="2" r:id="rId3"/>
    <sheet name="EX.RATES" sheetId="54" r:id="rId4"/>
  </sheets>
  <definedNames>
    <definedName name="_xlnm._FilterDatabase" localSheetId="2" hidden="1">'Blocked for payment_details'!$A$1:$Z$664</definedName>
    <definedName name="_xlnm._FilterDatabase" localSheetId="3" hidden="1">EX.RATES!$A$1:$H$108</definedName>
  </definedNames>
  <calcPr calcId="145621"/>
  <pivotCaches>
    <pivotCache cacheId="5" r:id="rId5"/>
    <pivotCache cacheId="9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2" l="1"/>
  <c r="W2" i="2" s="1"/>
  <c r="X2" i="2" s="1"/>
  <c r="T2" i="2"/>
  <c r="S2" i="2"/>
  <c r="R2" i="2"/>
  <c r="Q2" i="2" s="1"/>
  <c r="J2" i="2"/>
</calcChain>
</file>

<file path=xl/sharedStrings.xml><?xml version="1.0" encoding="utf-8"?>
<sst xmlns="http://schemas.openxmlformats.org/spreadsheetml/2006/main" count="52" uniqueCount="42">
  <si>
    <t>Invoice Item</t>
  </si>
  <si>
    <t>Purchasing Document</t>
  </si>
  <si>
    <t>Plant</t>
  </si>
  <si>
    <t>Owner</t>
  </si>
  <si>
    <t>Aging</t>
  </si>
  <si>
    <t>Aging days</t>
  </si>
  <si>
    <t>Comments</t>
  </si>
  <si>
    <t>Invoicing Party</t>
  </si>
  <si>
    <t>Invoice Document No.</t>
  </si>
  <si>
    <t>Amount</t>
  </si>
  <si>
    <t>Currency</t>
  </si>
  <si>
    <t>Posting Date</t>
  </si>
  <si>
    <t>Material</t>
  </si>
  <si>
    <t>Difference Quantity</t>
  </si>
  <si>
    <t>Difference Value</t>
  </si>
  <si>
    <t>Baseline Payment Dte</t>
  </si>
  <si>
    <t>Due date</t>
  </si>
  <si>
    <t>Quanity check</t>
  </si>
  <si>
    <t>Price check</t>
  </si>
  <si>
    <t>Payment block reason</t>
  </si>
  <si>
    <t>Count of Invoice Document No.</t>
  </si>
  <si>
    <t>R-block reason</t>
  </si>
  <si>
    <t>Invoices on hold per exception reason</t>
  </si>
  <si>
    <t>Exchange Rate Type</t>
  </si>
  <si>
    <t>From currency</t>
  </si>
  <si>
    <t>To-currency</t>
  </si>
  <si>
    <t>Valid from</t>
  </si>
  <si>
    <t>Exchange Rate</t>
  </si>
  <si>
    <t>Amount in USD</t>
  </si>
  <si>
    <t>FX rate</t>
  </si>
  <si>
    <t>Sum of Amount in USD</t>
  </si>
  <si>
    <t xml:space="preserve">PO Item </t>
  </si>
  <si>
    <t>PO+Item</t>
  </si>
  <si>
    <t>[6] &gt;360 days</t>
  </si>
  <si>
    <t>Invoices on hold per aging</t>
  </si>
  <si>
    <t>Cocd</t>
  </si>
  <si>
    <t>macro for blocked invoices report</t>
  </si>
  <si>
    <t>Payment Terms
(60 days)</t>
  </si>
  <si>
    <t>Razem: Sum of Amount in USD</t>
  </si>
  <si>
    <t>Razem: Count of Invoice Document No.</t>
  </si>
  <si>
    <t>(puste)</t>
  </si>
  <si>
    <t>Suma końcowa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</si>
</sst>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-* #,##0.00_-;\-* #,##0.00_-;_-* &quot;-&quot;??_-;_-@_-"/>
    <numFmt numFmtId="166" formatCode="_-* #,##0_-;\-* #,##0_-;_-* &quot;-&quot;??_-;_-@_-"/>
    <numFmt numFmtId="167" formatCode="#,##0.0000000"/>
  </numFmts>
  <fonts count="4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38"/>
    </font>
    <font>
      <sz val="10"/>
      <name val="Arial"/>
      <family val="2"/>
    </font>
    <font>
      <u/>
      <sz val="10"/>
      <color theme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charset val="134"/>
      <scheme val="minor"/>
    </font>
    <font>
      <b/>
      <sz val="11"/>
      <name val="Arial"/>
      <family val="2"/>
    </font>
    <font>
      <sz val="8"/>
      <name val="Arial"/>
      <family val="2"/>
    </font>
    <font>
      <b/>
      <sz val="16"/>
      <color theme="1"/>
      <name val="Calibri"/>
      <family val="2"/>
      <scheme val="minor"/>
    </font>
    <font>
      <sz val="10"/>
      <color rgb="FFFF0000"/>
      <name val="Arial"/>
      <family val="2"/>
    </font>
    <font>
      <sz val="9"/>
      <color theme="0"/>
      <name val="Arial"/>
      <family val="2"/>
      <charset val="238"/>
    </font>
    <font>
      <sz val="10"/>
      <color theme="0"/>
      <name val="Arial"/>
      <family val="2"/>
      <charset val="238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15">
    <xf numFmtId="0" fontId="0" fillId="0" borderId="0"/>
    <xf numFmtId="0" fontId="12" fillId="0" borderId="0"/>
    <xf numFmtId="0" fontId="10" fillId="0" borderId="0"/>
    <xf numFmtId="0" fontId="11" fillId="0" borderId="0"/>
    <xf numFmtId="0" fontId="9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11" fillId="0" borderId="0"/>
    <xf numFmtId="0" fontId="11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7" fillId="0" borderId="0" applyNumberFormat="0" applyFill="0" applyBorder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5" applyNumberFormat="0" applyAlignment="0" applyProtection="0"/>
    <xf numFmtId="0" fontId="25" fillId="8" borderId="6" applyNumberFormat="0" applyAlignment="0" applyProtection="0"/>
    <xf numFmtId="0" fontId="26" fillId="8" borderId="5" applyNumberFormat="0" applyAlignment="0" applyProtection="0"/>
    <xf numFmtId="0" fontId="27" fillId="0" borderId="7" applyNumberFormat="0" applyFill="0" applyAlignment="0" applyProtection="0"/>
    <xf numFmtId="0" fontId="28" fillId="9" borderId="8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0" applyNumberFormat="0" applyFill="0" applyAlignment="0" applyProtection="0"/>
    <xf numFmtId="0" fontId="3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2" fillId="34" borderId="0" applyNumberFormat="0" applyBorder="0" applyAlignment="0" applyProtection="0"/>
    <xf numFmtId="0" fontId="3" fillId="0" borderId="0"/>
    <xf numFmtId="0" fontId="11" fillId="0" borderId="0"/>
    <xf numFmtId="0" fontId="3" fillId="10" borderId="9" applyNumberFormat="0" applyFont="0" applyAlignment="0" applyProtection="0"/>
    <xf numFmtId="0" fontId="11" fillId="0" borderId="0"/>
    <xf numFmtId="164" fontId="11" fillId="0" borderId="0" applyFont="0" applyFill="0" applyBorder="0" applyAlignment="0" applyProtection="0"/>
    <xf numFmtId="0" fontId="3" fillId="0" borderId="0"/>
    <xf numFmtId="164" fontId="11" fillId="0" borderId="0" applyFont="0" applyFill="0" applyBorder="0" applyAlignment="0" applyProtection="0"/>
    <xf numFmtId="0" fontId="33" fillId="0" borderId="0"/>
    <xf numFmtId="0" fontId="3" fillId="0" borderId="0"/>
    <xf numFmtId="165" fontId="11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center"/>
    </xf>
    <xf numFmtId="0" fontId="12" fillId="0" borderId="0"/>
    <xf numFmtId="165" fontId="12" fillId="0" borderId="0" applyFont="0" applyFill="0" applyBorder="0" applyAlignment="0" applyProtection="0"/>
    <xf numFmtId="0" fontId="11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3">
    <xf numFmtId="0" fontId="0" fillId="0" borderId="0" xfId="0" applyAlignment="1">
      <alignment vertical="top"/>
    </xf>
    <xf numFmtId="0" fontId="0" fillId="0" borderId="0" xfId="0" applyAlignment="1">
      <alignment vertical="top"/>
    </xf>
    <xf numFmtId="0" fontId="35" fillId="0" borderId="0" xfId="0" applyFont="1" applyAlignment="1">
      <alignment vertical="top"/>
    </xf>
    <xf numFmtId="0" fontId="0" fillId="0" borderId="11" xfId="0" applyBorder="1" applyAlignment="1">
      <alignment vertical="top"/>
    </xf>
    <xf numFmtId="0" fontId="0" fillId="0" borderId="11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/>
    <xf numFmtId="166" fontId="0" fillId="0" borderId="11" xfId="0" applyNumberFormat="1" applyBorder="1" applyAlignment="1">
      <alignment vertical="top"/>
    </xf>
    <xf numFmtId="0" fontId="0" fillId="0" borderId="0" xfId="0" applyFill="1" applyAlignment="1">
      <alignment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18" fontId="16" fillId="2" borderId="1" xfId="0" applyNumberFormat="1" applyFont="1" applyFill="1" applyBorder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4" fontId="16" fillId="2" borderId="1" xfId="0" applyNumberFormat="1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 vertical="center" wrapText="1"/>
    </xf>
    <xf numFmtId="0" fontId="16" fillId="38" borderId="1" xfId="0" applyFont="1" applyFill="1" applyBorder="1" applyAlignment="1">
      <alignment horizontal="center" vertical="center"/>
    </xf>
    <xf numFmtId="166" fontId="16" fillId="3" borderId="1" xfId="12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0" fontId="0" fillId="0" borderId="11" xfId="0" applyBorder="1" applyAlignment="1">
      <alignment horizontal="left" vertical="top"/>
    </xf>
    <xf numFmtId="0" fontId="16" fillId="2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2" fontId="0" fillId="0" borderId="0" xfId="120" applyNumberFormat="1" applyFont="1" applyAlignment="1">
      <alignment horizontal="center" vertical="center"/>
    </xf>
    <xf numFmtId="0" fontId="0" fillId="0" borderId="0" xfId="0" applyAlignment="1">
      <alignment horizontal="left" vertical="top"/>
    </xf>
    <xf numFmtId="0" fontId="11" fillId="0" borderId="0" xfId="0" applyFont="1" applyAlignment="1">
      <alignment horizontal="left" vertical="center"/>
    </xf>
    <xf numFmtId="0" fontId="11" fillId="0" borderId="0" xfId="3" applyFont="1" applyAlignment="1">
      <alignment horizontal="left" vertical="center"/>
    </xf>
    <xf numFmtId="0" fontId="11" fillId="0" borderId="0" xfId="3" applyAlignment="1">
      <alignment horizontal="left" vertical="top"/>
    </xf>
    <xf numFmtId="0" fontId="11" fillId="0" borderId="0" xfId="3" applyAlignment="1">
      <alignment horizontal="left" vertical="center"/>
    </xf>
    <xf numFmtId="0" fontId="38" fillId="0" borderId="0" xfId="0" applyFont="1" applyAlignment="1">
      <alignment vertical="top"/>
    </xf>
    <xf numFmtId="0" fontId="16" fillId="35" borderId="1" xfId="0" applyFont="1" applyFill="1" applyBorder="1" applyAlignment="1">
      <alignment horizontal="center" vertical="center"/>
    </xf>
    <xf numFmtId="0" fontId="16" fillId="35" borderId="1" xfId="0" applyFont="1" applyFill="1" applyBorder="1" applyAlignment="1">
      <alignment horizontal="center" vertical="center" wrapText="1"/>
    </xf>
    <xf numFmtId="0" fontId="37" fillId="36" borderId="16" xfId="0" applyFont="1" applyFill="1" applyBorder="1" applyAlignment="1">
      <alignment horizontal="center" vertical="center"/>
    </xf>
    <xf numFmtId="0" fontId="37" fillId="36" borderId="17" xfId="0" applyFont="1" applyFill="1" applyBorder="1" applyAlignment="1">
      <alignment horizontal="center" vertical="center"/>
    </xf>
    <xf numFmtId="0" fontId="37" fillId="36" borderId="18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9" fillId="37" borderId="11" xfId="0" applyFont="1" applyFill="1" applyBorder="1" applyAlignment="1">
      <alignment vertical="top"/>
    </xf>
    <xf numFmtId="0" fontId="39" fillId="37" borderId="12" xfId="0" applyFont="1" applyFill="1" applyBorder="1" applyAlignment="1">
      <alignment vertical="top"/>
    </xf>
    <xf numFmtId="0" fontId="39" fillId="37" borderId="13" xfId="0" applyFont="1" applyFill="1" applyBorder="1" applyAlignment="1">
      <alignment vertical="top"/>
    </xf>
    <xf numFmtId="0" fontId="39" fillId="37" borderId="14" xfId="0" applyFont="1" applyFill="1" applyBorder="1" applyAlignment="1">
      <alignment horizontal="center" vertical="center" wrapText="1"/>
    </xf>
    <xf numFmtId="0" fontId="39" fillId="37" borderId="15" xfId="0" applyFont="1" applyFill="1" applyBorder="1" applyAlignment="1">
      <alignment horizontal="center" vertical="center" wrapText="1"/>
    </xf>
    <xf numFmtId="166" fontId="40" fillId="37" borderId="11" xfId="0" applyNumberFormat="1" applyFont="1" applyFill="1" applyBorder="1" applyAlignment="1">
      <alignment vertical="top"/>
    </xf>
    <xf numFmtId="0" fontId="40" fillId="37" borderId="11" xfId="0" applyFont="1" applyFill="1" applyBorder="1" applyAlignment="1">
      <alignment horizontal="left" vertical="top"/>
    </xf>
    <xf numFmtId="0" fontId="40" fillId="37" borderId="11" xfId="0" applyFont="1" applyFill="1" applyBorder="1" applyAlignment="1">
      <alignment vertical="top"/>
    </xf>
    <xf numFmtId="0" fontId="40" fillId="37" borderId="11" xfId="0" applyFont="1" applyFill="1" applyBorder="1" applyAlignment="1">
      <alignment vertical="top" wrapText="1"/>
    </xf>
    <xf numFmtId="0" fontId="40" fillId="37" borderId="11" xfId="0" applyNumberFormat="1" applyFont="1" applyFill="1" applyBorder="1" applyAlignment="1">
      <alignment vertical="top"/>
    </xf>
  </cellXfs>
  <cellStyles count="315">
    <cellStyle name="20% - akcent 1" xfId="88" builtinId="30" customBuiltin="1"/>
    <cellStyle name="20% - akcent 2" xfId="92" builtinId="34" customBuiltin="1"/>
    <cellStyle name="20% - akcent 3" xfId="96" builtinId="38" customBuiltin="1"/>
    <cellStyle name="20% - akcent 4" xfId="100" builtinId="42" customBuiltin="1"/>
    <cellStyle name="20% - akcent 5" xfId="104" builtinId="46" customBuiltin="1"/>
    <cellStyle name="20% - akcent 6" xfId="108" builtinId="50" customBuiltin="1"/>
    <cellStyle name="40% - akcent 1" xfId="89" builtinId="31" customBuiltin="1"/>
    <cellStyle name="40% - akcent 2" xfId="93" builtinId="35" customBuiltin="1"/>
    <cellStyle name="40% - akcent 3" xfId="97" builtinId="39" customBuiltin="1"/>
    <cellStyle name="40% - akcent 4" xfId="101" builtinId="43" customBuiltin="1"/>
    <cellStyle name="40% - akcent 5" xfId="105" builtinId="47" customBuiltin="1"/>
    <cellStyle name="40% - akcent 6" xfId="109" builtinId="51" customBuiltin="1"/>
    <cellStyle name="60% - akcent 1" xfId="90" builtinId="32" customBuiltin="1"/>
    <cellStyle name="60% - akcent 2" xfId="94" builtinId="36" customBuiltin="1"/>
    <cellStyle name="60% - akcent 3" xfId="98" builtinId="40" customBuiltin="1"/>
    <cellStyle name="60% - akcent 4" xfId="102" builtinId="44" customBuiltin="1"/>
    <cellStyle name="60% - akcent 5" xfId="106" builtinId="48" customBuiltin="1"/>
    <cellStyle name="60% - akcent 6" xfId="110" builtinId="52" customBuiltin="1"/>
    <cellStyle name="Akcent 1" xfId="87" builtinId="29" customBuiltin="1"/>
    <cellStyle name="Akcent 2" xfId="91" builtinId="33" customBuiltin="1"/>
    <cellStyle name="Akcent 3" xfId="95" builtinId="37" customBuiltin="1"/>
    <cellStyle name="Akcent 4" xfId="99" builtinId="41" customBuiltin="1"/>
    <cellStyle name="Akcent 5" xfId="103" builtinId="45" customBuiltin="1"/>
    <cellStyle name="Akcent 6" xfId="107" builtinId="49" customBuiltin="1"/>
    <cellStyle name="Comma 2" xfId="117"/>
    <cellStyle name="Comma 3" xfId="115"/>
    <cellStyle name="Comma 4" xfId="120"/>
    <cellStyle name="Comma 4 2" xfId="123"/>
    <cellStyle name="Dane wejściowe" xfId="79" builtinId="20" customBuiltin="1"/>
    <cellStyle name="Dane wyjściowe" xfId="80" builtinId="21" customBuiltin="1"/>
    <cellStyle name="Dobre" xfId="76" builtinId="26" customBuiltin="1"/>
    <cellStyle name="Hyperlink 2" xfId="54"/>
    <cellStyle name="Hyperlink 2 2" xfId="169"/>
    <cellStyle name="Hyperlink 2 3" xfId="121"/>
    <cellStyle name="Komórka połączona" xfId="82" builtinId="24" customBuiltin="1"/>
    <cellStyle name="Komórka zaznaczona" xfId="83" builtinId="23" customBuiltin="1"/>
    <cellStyle name="Nagłówek 1" xfId="72" builtinId="16" customBuiltin="1"/>
    <cellStyle name="Nagłówek 2" xfId="73" builtinId="17" customBuiltin="1"/>
    <cellStyle name="Nagłówek 3" xfId="74" builtinId="18" customBuiltin="1"/>
    <cellStyle name="Nagłówek 4" xfId="75" builtinId="19" customBuiltin="1"/>
    <cellStyle name="Neutralne" xfId="78" builtinId="28" customBuiltin="1"/>
    <cellStyle name="Normal 2" xfId="3"/>
    <cellStyle name="Normal 2 2" xfId="1"/>
    <cellStyle name="Normal 2 2 2" xfId="125"/>
    <cellStyle name="Normal 2 2 3" xfId="118"/>
    <cellStyle name="Normal 2 3" xfId="5"/>
    <cellStyle name="Normal 2 3 2" xfId="6"/>
    <cellStyle name="Normal 2 3 2 2" xfId="14"/>
    <cellStyle name="Normal 2 4" xfId="7"/>
    <cellStyle name="Normal 2 5" xfId="191"/>
    <cellStyle name="Normal 3" xfId="2"/>
    <cellStyle name="Normal 3 2" xfId="10"/>
    <cellStyle name="Normal 3 2 2" xfId="17"/>
    <cellStyle name="Normal 3 2 2 2" xfId="32"/>
    <cellStyle name="Normal 3 2 2 2 2" xfId="63"/>
    <cellStyle name="Normal 3 2 2 2 2 2" xfId="178"/>
    <cellStyle name="Normal 3 2 2 2 2 3" xfId="244"/>
    <cellStyle name="Normal 3 2 2 2 2 4" xfId="308"/>
    <cellStyle name="Normal 3 2 2 2 3" xfId="147"/>
    <cellStyle name="Normal 3 2 2 2 4" xfId="214"/>
    <cellStyle name="Normal 3 2 2 2 5" xfId="278"/>
    <cellStyle name="Normal 3 2 2 3" xfId="47"/>
    <cellStyle name="Normal 3 2 2 3 2" xfId="162"/>
    <cellStyle name="Normal 3 2 2 3 3" xfId="229"/>
    <cellStyle name="Normal 3 2 2 3 4" xfId="293"/>
    <cellStyle name="Normal 3 2 2 4" xfId="132"/>
    <cellStyle name="Normal 3 2 2 5" xfId="199"/>
    <cellStyle name="Normal 3 2 2 6" xfId="263"/>
    <cellStyle name="Normal 3 2 3" xfId="22"/>
    <cellStyle name="Normal 3 2 3 2" xfId="37"/>
    <cellStyle name="Normal 3 2 3 2 2" xfId="68"/>
    <cellStyle name="Normal 3 2 3 2 2 2" xfId="183"/>
    <cellStyle name="Normal 3 2 3 2 2 3" xfId="249"/>
    <cellStyle name="Normal 3 2 3 2 2 4" xfId="313"/>
    <cellStyle name="Normal 3 2 3 2 3" xfId="152"/>
    <cellStyle name="Normal 3 2 3 2 4" xfId="219"/>
    <cellStyle name="Normal 3 2 3 2 5" xfId="283"/>
    <cellStyle name="Normal 3 2 3 3" xfId="52"/>
    <cellStyle name="Normal 3 2 3 3 2" xfId="167"/>
    <cellStyle name="Normal 3 2 3 3 3" xfId="234"/>
    <cellStyle name="Normal 3 2 3 3 4" xfId="298"/>
    <cellStyle name="Normal 3 2 3 4" xfId="137"/>
    <cellStyle name="Normal 3 2 3 5" xfId="204"/>
    <cellStyle name="Normal 3 2 3 6" xfId="268"/>
    <cellStyle name="Normal 3 2 4" xfId="27"/>
    <cellStyle name="Normal 3 2 4 2" xfId="58"/>
    <cellStyle name="Normal 3 2 4 2 2" xfId="173"/>
    <cellStyle name="Normal 3 2 4 2 3" xfId="239"/>
    <cellStyle name="Normal 3 2 4 2 4" xfId="303"/>
    <cellStyle name="Normal 3 2 4 3" xfId="142"/>
    <cellStyle name="Normal 3 2 4 4" xfId="209"/>
    <cellStyle name="Normal 3 2 4 5" xfId="273"/>
    <cellStyle name="Normal 3 2 5" xfId="42"/>
    <cellStyle name="Normal 3 2 5 2" xfId="157"/>
    <cellStyle name="Normal 3 2 5 3" xfId="224"/>
    <cellStyle name="Normal 3 2 5 4" xfId="288"/>
    <cellStyle name="Normal 3 2 6" xfId="127"/>
    <cellStyle name="Normal 3 2 7" xfId="194"/>
    <cellStyle name="Normal 3 2 8" xfId="258"/>
    <cellStyle name="Normal 3 3" xfId="12"/>
    <cellStyle name="Normal 3 3 2" xfId="29"/>
    <cellStyle name="Normal 3 3 2 2" xfId="60"/>
    <cellStyle name="Normal 3 3 2 2 2" xfId="175"/>
    <cellStyle name="Normal 3 3 2 2 3" xfId="241"/>
    <cellStyle name="Normal 3 3 2 2 4" xfId="305"/>
    <cellStyle name="Normal 3 3 2 3" xfId="144"/>
    <cellStyle name="Normal 3 3 2 4" xfId="211"/>
    <cellStyle name="Normal 3 3 2 5" xfId="275"/>
    <cellStyle name="Normal 3 3 3" xfId="44"/>
    <cellStyle name="Normal 3 3 3 2" xfId="159"/>
    <cellStyle name="Normal 3 3 3 3" xfId="226"/>
    <cellStyle name="Normal 3 3 3 4" xfId="290"/>
    <cellStyle name="Normal 3 3 4" xfId="129"/>
    <cellStyle name="Normal 3 3 5" xfId="196"/>
    <cellStyle name="Normal 3 3 6" xfId="260"/>
    <cellStyle name="Normal 3 4" xfId="19"/>
    <cellStyle name="Normal 3 4 2" xfId="34"/>
    <cellStyle name="Normal 3 4 2 2" xfId="65"/>
    <cellStyle name="Normal 3 4 2 2 2" xfId="180"/>
    <cellStyle name="Normal 3 4 2 2 3" xfId="246"/>
    <cellStyle name="Normal 3 4 2 2 4" xfId="310"/>
    <cellStyle name="Normal 3 4 2 3" xfId="149"/>
    <cellStyle name="Normal 3 4 2 4" xfId="216"/>
    <cellStyle name="Normal 3 4 2 5" xfId="280"/>
    <cellStyle name="Normal 3 4 3" xfId="49"/>
    <cellStyle name="Normal 3 4 3 2" xfId="164"/>
    <cellStyle name="Normal 3 4 3 3" xfId="231"/>
    <cellStyle name="Normal 3 4 3 4" xfId="295"/>
    <cellStyle name="Normal 3 4 4" xfId="134"/>
    <cellStyle name="Normal 3 4 5" xfId="201"/>
    <cellStyle name="Normal 3 4 6" xfId="265"/>
    <cellStyle name="Normal 3 5" xfId="24"/>
    <cellStyle name="Normal 3 5 2" xfId="55"/>
    <cellStyle name="Normal 3 5 2 2" xfId="170"/>
    <cellStyle name="Normal 3 5 2 3" xfId="236"/>
    <cellStyle name="Normal 3 5 2 4" xfId="300"/>
    <cellStyle name="Normal 3 5 3" xfId="139"/>
    <cellStyle name="Normal 3 5 4" xfId="206"/>
    <cellStyle name="Normal 3 5 5" xfId="270"/>
    <cellStyle name="Normal 3 6" xfId="39"/>
    <cellStyle name="Normal 3 6 2" xfId="154"/>
    <cellStyle name="Normal 3 6 3" xfId="221"/>
    <cellStyle name="Normal 3 6 4" xfId="285"/>
    <cellStyle name="Normal 3 7" xfId="116"/>
    <cellStyle name="Normal 3 7 2" xfId="190"/>
    <cellStyle name="Normal 3 7 3" xfId="255"/>
    <cellStyle name="Normal 3 8" xfId="185"/>
    <cellStyle name="Normal 3 9" xfId="251"/>
    <cellStyle name="Normal 4" xfId="4"/>
    <cellStyle name="Normal 4 2" xfId="11"/>
    <cellStyle name="Normal 4 2 2" xfId="18"/>
    <cellStyle name="Normal 4 2 2 2" xfId="33"/>
    <cellStyle name="Normal 4 2 2 2 2" xfId="64"/>
    <cellStyle name="Normal 4 2 2 2 2 2" xfId="179"/>
    <cellStyle name="Normal 4 2 2 2 2 3" xfId="245"/>
    <cellStyle name="Normal 4 2 2 2 2 4" xfId="309"/>
    <cellStyle name="Normal 4 2 2 2 3" xfId="148"/>
    <cellStyle name="Normal 4 2 2 2 4" xfId="215"/>
    <cellStyle name="Normal 4 2 2 2 5" xfId="279"/>
    <cellStyle name="Normal 4 2 2 3" xfId="48"/>
    <cellStyle name="Normal 4 2 2 3 2" xfId="163"/>
    <cellStyle name="Normal 4 2 2 3 3" xfId="230"/>
    <cellStyle name="Normal 4 2 2 3 4" xfId="294"/>
    <cellStyle name="Normal 4 2 2 4" xfId="133"/>
    <cellStyle name="Normal 4 2 2 5" xfId="200"/>
    <cellStyle name="Normal 4 2 2 6" xfId="264"/>
    <cellStyle name="Normal 4 2 3" xfId="23"/>
    <cellStyle name="Normal 4 2 3 2" xfId="38"/>
    <cellStyle name="Normal 4 2 3 2 2" xfId="69"/>
    <cellStyle name="Normal 4 2 3 2 2 2" xfId="184"/>
    <cellStyle name="Normal 4 2 3 2 2 3" xfId="250"/>
    <cellStyle name="Normal 4 2 3 2 2 4" xfId="314"/>
    <cellStyle name="Normal 4 2 3 2 3" xfId="153"/>
    <cellStyle name="Normal 4 2 3 2 4" xfId="220"/>
    <cellStyle name="Normal 4 2 3 2 5" xfId="284"/>
    <cellStyle name="Normal 4 2 3 3" xfId="53"/>
    <cellStyle name="Normal 4 2 3 3 2" xfId="168"/>
    <cellStyle name="Normal 4 2 3 3 3" xfId="235"/>
    <cellStyle name="Normal 4 2 3 3 4" xfId="299"/>
    <cellStyle name="Normal 4 2 3 4" xfId="138"/>
    <cellStyle name="Normal 4 2 3 5" xfId="205"/>
    <cellStyle name="Normal 4 2 3 6" xfId="269"/>
    <cellStyle name="Normal 4 2 4" xfId="28"/>
    <cellStyle name="Normal 4 2 4 2" xfId="59"/>
    <cellStyle name="Normal 4 2 4 2 2" xfId="174"/>
    <cellStyle name="Normal 4 2 4 2 3" xfId="240"/>
    <cellStyle name="Normal 4 2 4 2 4" xfId="304"/>
    <cellStyle name="Normal 4 2 4 3" xfId="143"/>
    <cellStyle name="Normal 4 2 4 4" xfId="210"/>
    <cellStyle name="Normal 4 2 4 5" xfId="274"/>
    <cellStyle name="Normal 4 2 5" xfId="43"/>
    <cellStyle name="Normal 4 2 5 2" xfId="158"/>
    <cellStyle name="Normal 4 2 5 3" xfId="225"/>
    <cellStyle name="Normal 4 2 5 4" xfId="289"/>
    <cellStyle name="Normal 4 2 6" xfId="128"/>
    <cellStyle name="Normal 4 2 7" xfId="195"/>
    <cellStyle name="Normal 4 2 8" xfId="259"/>
    <cellStyle name="Normal 4 3" xfId="13"/>
    <cellStyle name="Normal 4 3 2" xfId="30"/>
    <cellStyle name="Normal 4 3 2 2" xfId="61"/>
    <cellStyle name="Normal 4 3 2 2 2" xfId="176"/>
    <cellStyle name="Normal 4 3 2 2 3" xfId="242"/>
    <cellStyle name="Normal 4 3 2 2 4" xfId="306"/>
    <cellStyle name="Normal 4 3 2 3" xfId="145"/>
    <cellStyle name="Normal 4 3 2 4" xfId="212"/>
    <cellStyle name="Normal 4 3 2 5" xfId="276"/>
    <cellStyle name="Normal 4 3 3" xfId="45"/>
    <cellStyle name="Normal 4 3 3 2" xfId="160"/>
    <cellStyle name="Normal 4 3 3 3" xfId="227"/>
    <cellStyle name="Normal 4 3 3 4" xfId="291"/>
    <cellStyle name="Normal 4 3 4" xfId="130"/>
    <cellStyle name="Normal 4 3 5" xfId="197"/>
    <cellStyle name="Normal 4 3 6" xfId="261"/>
    <cellStyle name="Normal 4 4" xfId="20"/>
    <cellStyle name="Normal 4 4 2" xfId="35"/>
    <cellStyle name="Normal 4 4 2 2" xfId="66"/>
    <cellStyle name="Normal 4 4 2 2 2" xfId="181"/>
    <cellStyle name="Normal 4 4 2 2 3" xfId="247"/>
    <cellStyle name="Normal 4 4 2 2 4" xfId="311"/>
    <cellStyle name="Normal 4 4 2 3" xfId="150"/>
    <cellStyle name="Normal 4 4 2 4" xfId="217"/>
    <cellStyle name="Normal 4 4 2 5" xfId="281"/>
    <cellStyle name="Normal 4 4 3" xfId="50"/>
    <cellStyle name="Normal 4 4 3 2" xfId="165"/>
    <cellStyle name="Normal 4 4 3 3" xfId="232"/>
    <cellStyle name="Normal 4 4 3 4" xfId="296"/>
    <cellStyle name="Normal 4 4 4" xfId="135"/>
    <cellStyle name="Normal 4 4 5" xfId="202"/>
    <cellStyle name="Normal 4 4 6" xfId="266"/>
    <cellStyle name="Normal 4 5" xfId="25"/>
    <cellStyle name="Normal 4 5 2" xfId="56"/>
    <cellStyle name="Normal 4 5 2 2" xfId="171"/>
    <cellStyle name="Normal 4 5 2 3" xfId="237"/>
    <cellStyle name="Normal 4 5 2 4" xfId="301"/>
    <cellStyle name="Normal 4 5 3" xfId="140"/>
    <cellStyle name="Normal 4 5 4" xfId="207"/>
    <cellStyle name="Normal 4 5 5" xfId="271"/>
    <cellStyle name="Normal 4 6" xfId="40"/>
    <cellStyle name="Normal 4 6 2" xfId="155"/>
    <cellStyle name="Normal 4 6 3" xfId="222"/>
    <cellStyle name="Normal 4 6 4" xfId="286"/>
    <cellStyle name="Normal 4 7" xfId="119"/>
    <cellStyle name="Normal 4 7 2" xfId="192"/>
    <cellStyle name="Normal 4 7 3" xfId="256"/>
    <cellStyle name="Normal 4 8" xfId="186"/>
    <cellStyle name="Normal 4 9" xfId="252"/>
    <cellStyle name="Normal 5" xfId="9"/>
    <cellStyle name="Normal 5 2" xfId="16"/>
    <cellStyle name="Normal 5 2 2" xfId="31"/>
    <cellStyle name="Normal 5 2 2 2" xfId="62"/>
    <cellStyle name="Normal 5 2 2 2 2" xfId="177"/>
    <cellStyle name="Normal 5 2 2 2 3" xfId="243"/>
    <cellStyle name="Normal 5 2 2 2 4" xfId="307"/>
    <cellStyle name="Normal 5 2 2 3" xfId="146"/>
    <cellStyle name="Normal 5 2 2 4" xfId="213"/>
    <cellStyle name="Normal 5 2 2 5" xfId="277"/>
    <cellStyle name="Normal 5 2 3" xfId="46"/>
    <cellStyle name="Normal 5 2 3 2" xfId="161"/>
    <cellStyle name="Normal 5 2 3 3" xfId="228"/>
    <cellStyle name="Normal 5 2 3 4" xfId="292"/>
    <cellStyle name="Normal 5 2 4" xfId="131"/>
    <cellStyle name="Normal 5 2 5" xfId="122"/>
    <cellStyle name="Normal 5 2 6" xfId="198"/>
    <cellStyle name="Normal 5 2 7" xfId="262"/>
    <cellStyle name="Normal 5 3" xfId="21"/>
    <cellStyle name="Normal 5 3 2" xfId="36"/>
    <cellStyle name="Normal 5 3 2 2" xfId="67"/>
    <cellStyle name="Normal 5 3 2 2 2" xfId="182"/>
    <cellStyle name="Normal 5 3 2 2 3" xfId="248"/>
    <cellStyle name="Normal 5 3 2 2 4" xfId="312"/>
    <cellStyle name="Normal 5 3 2 3" xfId="151"/>
    <cellStyle name="Normal 5 3 2 4" xfId="218"/>
    <cellStyle name="Normal 5 3 2 5" xfId="282"/>
    <cellStyle name="Normal 5 3 3" xfId="51"/>
    <cellStyle name="Normal 5 3 3 2" xfId="166"/>
    <cellStyle name="Normal 5 3 3 3" xfId="233"/>
    <cellStyle name="Normal 5 3 3 4" xfId="297"/>
    <cellStyle name="Normal 5 3 4" xfId="136"/>
    <cellStyle name="Normal 5 3 5" xfId="203"/>
    <cellStyle name="Normal 5 3 6" xfId="267"/>
    <cellStyle name="Normal 5 4" xfId="26"/>
    <cellStyle name="Normal 5 4 2" xfId="57"/>
    <cellStyle name="Normal 5 4 2 2" xfId="172"/>
    <cellStyle name="Normal 5 4 2 3" xfId="238"/>
    <cellStyle name="Normal 5 4 2 4" xfId="302"/>
    <cellStyle name="Normal 5 4 3" xfId="141"/>
    <cellStyle name="Normal 5 4 4" xfId="208"/>
    <cellStyle name="Normal 5 4 5" xfId="272"/>
    <cellStyle name="Normal 5 5" xfId="41"/>
    <cellStyle name="Normal 5 5 2" xfId="156"/>
    <cellStyle name="Normal 5 5 3" xfId="223"/>
    <cellStyle name="Normal 5 5 4" xfId="287"/>
    <cellStyle name="Normal 5 6" xfId="126"/>
    <cellStyle name="Normal 5 6 2" xfId="193"/>
    <cellStyle name="Normal 5 6 3" xfId="257"/>
    <cellStyle name="Normal 5 7" xfId="114"/>
    <cellStyle name="Normal 5 8" xfId="187"/>
    <cellStyle name="Normal 5 9" xfId="253"/>
    <cellStyle name="Normal 6" xfId="70"/>
    <cellStyle name="Normal 6 2" xfId="112"/>
    <cellStyle name="Normal 7" xfId="124"/>
    <cellStyle name="Normal 7 2" xfId="189"/>
    <cellStyle name="Normal 8" xfId="111"/>
    <cellStyle name="Normal 8 2" xfId="188"/>
    <cellStyle name="Normal 8 3" xfId="254"/>
    <cellStyle name="Normal 9 2 2" xfId="8"/>
    <cellStyle name="Normal 9 2 2 2" xfId="15"/>
    <cellStyle name="Normalny" xfId="0" builtinId="0"/>
    <cellStyle name="Note 2" xfId="113"/>
    <cellStyle name="Obliczenia" xfId="81" builtinId="22" customBuiltin="1"/>
    <cellStyle name="Suma" xfId="86" builtinId="25" customBuiltin="1"/>
    <cellStyle name="Tekst objaśnienia" xfId="85" builtinId="53" customBuiltin="1"/>
    <cellStyle name="Tekst ostrzeżenia" xfId="84" builtinId="11" customBuiltin="1"/>
    <cellStyle name="Tytuł" xfId="71" builtinId="15" customBuiltin="1"/>
    <cellStyle name="Złe" xfId="77" builtinId="27" customBuiltin="1"/>
  </cellStyles>
  <dxfs count="118"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vertical/>
      </border>
    </dxf>
    <dxf>
      <border>
        <vertical/>
      </border>
    </dxf>
    <dxf>
      <border>
        <horizontal/>
      </border>
    </dxf>
    <dxf>
      <border>
        <horizontal/>
      </border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horizontal/>
      </border>
    </dxf>
    <dxf>
      <border>
        <left style="thin">
          <color theme="0" tint="-0.24994659260841701"/>
        </left>
        <horizontal/>
      </border>
    </dxf>
    <dxf>
      <numFmt numFmtId="166" formatCode="_-* #,##0_-;\-* #,##0_-;_-* &quot;-&quot;??_-;_-@_-"/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 tint="0.39997558519241921"/>
        </patternFill>
      </fill>
    </dxf>
    <dxf>
      <fill>
        <patternFill>
          <bgColor theme="9"/>
        </patternFill>
      </fill>
    </dxf>
    <dxf>
      <font>
        <color theme="0"/>
      </font>
    </dxf>
    <dxf>
      <alignment wrapText="1" readingOrder="0"/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border>
        <horizontal/>
      </border>
    </dxf>
    <dxf>
      <border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alignment wrapText="1" readingOrder="0"/>
    </dxf>
    <dxf>
      <font>
        <color theme="0"/>
      </font>
    </dxf>
    <dxf>
      <fill>
        <patternFill>
          <bgColor theme="9"/>
        </patternFill>
      </fill>
    </dxf>
    <dxf>
      <fill>
        <patternFill patternType="solid">
          <bgColor theme="9" tint="0.39997558519241921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numFmt numFmtId="166" formatCode="_-* #,##0_-;\-* #,##0_-;_-* &quot;-&quot;??_-;_-@_-"/>
    </dxf>
    <dxf>
      <border>
        <left style="thin">
          <color theme="0" tint="-0.24994659260841701"/>
        </left>
        <horizontal/>
      </border>
    </dxf>
    <dxf>
      <border>
        <left style="thin">
          <color theme="0" tint="-0.24994659260841701"/>
        </left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vertical="center" readingOrder="0"/>
    </dxf>
    <dxf>
      <alignment wrapText="1" readingOrder="0"/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9525</xdr:colOff>
      <xdr:row>7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89F9C415-AA49-451C-9EA7-41BD5C4C33FD}"/>
            </a:ext>
          </a:extLst>
        </xdr:cNvPr>
        <xdr:cNvSpPr txBox="1"/>
      </xdr:nvSpPr>
      <xdr:spPr>
        <a:xfrm>
          <a:off x="611188" y="714375"/>
          <a:ext cx="3065462" cy="762000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update rates in EX.RATES tab </a:t>
          </a:r>
          <a:r>
            <a:rPr lang="pl-PL" sz="1200" b="1"/>
            <a:t/>
          </a:r>
          <a:br>
            <a:rPr lang="pl-PL" sz="1200" b="1"/>
          </a:br>
          <a:r>
            <a:rPr lang="pl-PL" sz="1200" b="1"/>
            <a:t>in this workbook</a:t>
          </a:r>
          <a:r>
            <a:rPr lang="pl-PL" sz="1200" b="1" baseline="0"/>
            <a:t> </a:t>
          </a:r>
          <a:br>
            <a:rPr lang="pl-PL" sz="1200" b="1" baseline="0"/>
          </a:br>
          <a:r>
            <a:rPr lang="en-US" sz="1200" b="1"/>
            <a:t>(unhide </a:t>
          </a:r>
          <a:r>
            <a:rPr lang="pl-PL" sz="1200" b="1"/>
            <a:t>work</a:t>
          </a:r>
          <a:r>
            <a:rPr lang="en-US" sz="1200" b="1"/>
            <a:t>sheet and after changes hide it)</a:t>
          </a:r>
        </a:p>
      </xdr:txBody>
    </xdr:sp>
    <xdr:clientData/>
  </xdr:twoCellAnchor>
  <xdr:twoCellAnchor>
    <xdr:from>
      <xdr:col>4</xdr:col>
      <xdr:colOff>209550</xdr:colOff>
      <xdr:row>8</xdr:row>
      <xdr:rowOff>50800</xdr:rowOff>
    </xdr:from>
    <xdr:to>
      <xdr:col>4</xdr:col>
      <xdr:colOff>390525</xdr:colOff>
      <xdr:row>9</xdr:row>
      <xdr:rowOff>111125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xmlns="" id="{D591B3D4-2370-4854-B0A2-163CE394310C}"/>
            </a:ext>
          </a:extLst>
        </xdr:cNvPr>
        <xdr:cNvSpPr/>
      </xdr:nvSpPr>
      <xdr:spPr>
        <a:xfrm>
          <a:off x="2038350" y="1555750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73025</xdr:colOff>
      <xdr:row>32</xdr:row>
      <xdr:rowOff>14288</xdr:rowOff>
    </xdr:from>
    <xdr:to>
      <xdr:col>7</xdr:col>
      <xdr:colOff>82550</xdr:colOff>
      <xdr:row>36</xdr:row>
      <xdr:rowOff>96838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71E12502-BB79-43E1-870A-B7EAA08F7817}"/>
            </a:ext>
          </a:extLst>
        </xdr:cNvPr>
        <xdr:cNvSpPr txBox="1"/>
      </xdr:nvSpPr>
      <xdr:spPr>
        <a:xfrm>
          <a:off x="684213" y="4221163"/>
          <a:ext cx="3065462" cy="717550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contact person </a:t>
          </a:r>
          <a: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(base on previous file and country owner tab which is hided in this file)</a:t>
          </a:r>
          <a:r>
            <a:rPr lang="en-US" sz="1200" b="1"/>
            <a:t> </a:t>
          </a:r>
        </a:p>
      </xdr:txBody>
    </xdr:sp>
    <xdr:clientData/>
  </xdr:twoCellAnchor>
  <xdr:twoCellAnchor>
    <xdr:from>
      <xdr:col>2</xdr:col>
      <xdr:colOff>381000</xdr:colOff>
      <xdr:row>25</xdr:row>
      <xdr:rowOff>6350</xdr:rowOff>
    </xdr:from>
    <xdr:to>
      <xdr:col>6</xdr:col>
      <xdr:colOff>247650</xdr:colOff>
      <xdr:row>28</xdr:row>
      <xdr:rowOff>57150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D378B176-74FF-4DEE-8896-020DFBBD27F3}"/>
            </a:ext>
          </a:extLst>
        </xdr:cNvPr>
        <xdr:cNvSpPr txBox="1"/>
      </xdr:nvSpPr>
      <xdr:spPr>
        <a:xfrm>
          <a:off x="990600" y="3098800"/>
          <a:ext cx="230505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Blocked for payment_details)</a:t>
          </a:r>
          <a:endParaRPr lang="en-US" sz="1200" b="1"/>
        </a:p>
      </xdr:txBody>
    </xdr:sp>
    <xdr:clientData/>
  </xdr:twoCellAnchor>
  <xdr:twoCellAnchor>
    <xdr:from>
      <xdr:col>3</xdr:col>
      <xdr:colOff>55563</xdr:colOff>
      <xdr:row>28</xdr:row>
      <xdr:rowOff>134938</xdr:rowOff>
    </xdr:from>
    <xdr:to>
      <xdr:col>5</xdr:col>
      <xdr:colOff>588963</xdr:colOff>
      <xdr:row>31</xdr:row>
      <xdr:rowOff>77788</xdr:rowOff>
    </xdr:to>
    <xdr:sp macro="[0]!Macro1" textlink="">
      <xdr:nvSpPr>
        <xdr:cNvPr id="9" name="Oval 8">
          <a:extLst>
            <a:ext uri="{FF2B5EF4-FFF2-40B4-BE49-F238E27FC236}">
              <a16:creationId xmlns:a16="http://schemas.microsoft.com/office/drawing/2014/main" xmlns="" id="{3E39372D-ECBF-45C4-9A17-439C64C4CF65}"/>
            </a:ext>
          </a:extLst>
        </xdr:cNvPr>
        <xdr:cNvSpPr/>
      </xdr:nvSpPr>
      <xdr:spPr>
        <a:xfrm>
          <a:off x="1277938" y="3706813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357186</xdr:colOff>
      <xdr:row>38</xdr:row>
      <xdr:rowOff>134938</xdr:rowOff>
    </xdr:from>
    <xdr:to>
      <xdr:col>6</xdr:col>
      <xdr:colOff>223836</xdr:colOff>
      <xdr:row>42</xdr:row>
      <xdr:rowOff>26988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FF31A3B6-D05B-489C-AE51-F1B70C15A27E}"/>
            </a:ext>
          </a:extLst>
        </xdr:cNvPr>
        <xdr:cNvSpPr txBox="1"/>
      </xdr:nvSpPr>
      <xdr:spPr>
        <a:xfrm>
          <a:off x="968374" y="5294313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Summary</a:t>
          </a:r>
          <a:endParaRPr lang="en-US" sz="1200" b="1"/>
        </a:p>
      </xdr:txBody>
    </xdr:sp>
    <xdr:clientData/>
  </xdr:twoCellAnchor>
  <xdr:twoCellAnchor>
    <xdr:from>
      <xdr:col>3</xdr:col>
      <xdr:colOff>63500</xdr:colOff>
      <xdr:row>42</xdr:row>
      <xdr:rowOff>95251</xdr:rowOff>
    </xdr:from>
    <xdr:to>
      <xdr:col>5</xdr:col>
      <xdr:colOff>596900</xdr:colOff>
      <xdr:row>45</xdr:row>
      <xdr:rowOff>38101</xdr:rowOff>
    </xdr:to>
    <xdr:sp macro="[0]!Macro2" textlink="">
      <xdr:nvSpPr>
        <xdr:cNvPr id="11" name="Oval 10">
          <a:extLst>
            <a:ext uri="{FF2B5EF4-FFF2-40B4-BE49-F238E27FC236}">
              <a16:creationId xmlns:a16="http://schemas.microsoft.com/office/drawing/2014/main" xmlns="" id="{CA87DE0B-9A23-4DA6-BA26-988CEDD58F22}"/>
            </a:ext>
          </a:extLst>
        </xdr:cNvPr>
        <xdr:cNvSpPr/>
      </xdr:nvSpPr>
      <xdr:spPr>
        <a:xfrm>
          <a:off x="1285875" y="5889626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190501</xdr:colOff>
      <xdr:row>45</xdr:row>
      <xdr:rowOff>95251</xdr:rowOff>
    </xdr:from>
    <xdr:to>
      <xdr:col>4</xdr:col>
      <xdr:colOff>371476</xdr:colOff>
      <xdr:row>46</xdr:row>
      <xdr:rowOff>155576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xmlns="" id="{D36D929C-C1FD-4033-8F1A-1C6C2448C583}"/>
            </a:ext>
          </a:extLst>
        </xdr:cNvPr>
        <xdr:cNvSpPr/>
      </xdr:nvSpPr>
      <xdr:spPr>
        <a:xfrm>
          <a:off x="2024064" y="6365876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198438</xdr:colOff>
      <xdr:row>37</xdr:row>
      <xdr:rowOff>7938</xdr:rowOff>
    </xdr:from>
    <xdr:to>
      <xdr:col>4</xdr:col>
      <xdr:colOff>379413</xdr:colOff>
      <xdr:row>38</xdr:row>
      <xdr:rowOff>68263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xmlns="" id="{093DD06B-7760-46F8-BD25-316A384195FA}"/>
            </a:ext>
          </a:extLst>
        </xdr:cNvPr>
        <xdr:cNvSpPr/>
      </xdr:nvSpPr>
      <xdr:spPr>
        <a:xfrm>
          <a:off x="2032001" y="5008563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31750</xdr:colOff>
      <xdr:row>50</xdr:row>
      <xdr:rowOff>150812</xdr:rowOff>
    </xdr:from>
    <xdr:to>
      <xdr:col>5</xdr:col>
      <xdr:colOff>565150</xdr:colOff>
      <xdr:row>53</xdr:row>
      <xdr:rowOff>93662</xdr:rowOff>
    </xdr:to>
    <xdr:sp macro="[0]!Macro3" textlink="">
      <xdr:nvSpPr>
        <xdr:cNvPr id="16" name="Oval 15">
          <a:extLst>
            <a:ext uri="{FF2B5EF4-FFF2-40B4-BE49-F238E27FC236}">
              <a16:creationId xmlns:a16="http://schemas.microsoft.com/office/drawing/2014/main" xmlns="" id="{DAC8F375-D146-4E5F-BD7D-C80DEC05D448}"/>
            </a:ext>
          </a:extLst>
        </xdr:cNvPr>
        <xdr:cNvSpPr/>
      </xdr:nvSpPr>
      <xdr:spPr>
        <a:xfrm>
          <a:off x="1254125" y="7215187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523876</xdr:colOff>
      <xdr:row>53</xdr:row>
      <xdr:rowOff>146982</xdr:rowOff>
    </xdr:from>
    <xdr:to>
      <xdr:col>5</xdr:col>
      <xdr:colOff>47626</xdr:colOff>
      <xdr:row>57</xdr:row>
      <xdr:rowOff>95403</xdr:rowOff>
    </xdr:to>
    <xdr:pic>
      <xdr:nvPicPr>
        <xdr:cNvPr id="8" name="Graphic 7" descr="Open envelope with solid fill">
          <a:extLst>
            <a:ext uri="{FF2B5EF4-FFF2-40B4-BE49-F238E27FC236}">
              <a16:creationId xmlns:a16="http://schemas.microsoft.com/office/drawing/2014/main" xmlns="" id="{62A9712B-FF11-40C8-AC06-CC9AE9C1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1746251" y="7687607"/>
          <a:ext cx="746125" cy="583421"/>
        </a:xfrm>
        <a:prstGeom prst="rect">
          <a:avLst/>
        </a:prstGeom>
      </xdr:spPr>
    </xdr:pic>
    <xdr:clientData/>
  </xdr:twoCellAnchor>
  <xdr:twoCellAnchor>
    <xdr:from>
      <xdr:col>2</xdr:col>
      <xdr:colOff>317500</xdr:colOff>
      <xdr:row>47</xdr:row>
      <xdr:rowOff>47625</xdr:rowOff>
    </xdr:from>
    <xdr:to>
      <xdr:col>6</xdr:col>
      <xdr:colOff>184150</xdr:colOff>
      <xdr:row>50</xdr:row>
      <xdr:rowOff>98425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xmlns="" id="{9B9F228B-19B1-4CA7-AF6B-18B80E2F2638}"/>
            </a:ext>
          </a:extLst>
        </xdr:cNvPr>
        <xdr:cNvSpPr txBox="1"/>
      </xdr:nvSpPr>
      <xdr:spPr>
        <a:xfrm>
          <a:off x="928688" y="6635750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button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prepare an e-mail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(Outlook must be open)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15876</xdr:colOff>
      <xdr:row>10</xdr:row>
      <xdr:rowOff>31749</xdr:rowOff>
    </xdr:from>
    <xdr:to>
      <xdr:col>7</xdr:col>
      <xdr:colOff>25401</xdr:colOff>
      <xdr:row>17</xdr:row>
      <xdr:rowOff>63500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xmlns="" id="{1A3FC095-B8B3-4847-B219-DB5DBA4EE5BA}"/>
            </a:ext>
          </a:extLst>
        </xdr:cNvPr>
        <xdr:cNvSpPr txBox="1"/>
      </xdr:nvSpPr>
      <xdr:spPr>
        <a:xfrm>
          <a:off x="1238251" y="1857374"/>
          <a:ext cx="3065463" cy="11430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log in into SAP and click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 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</a:t>
          </a:r>
          <a:r>
            <a:rPr lang="en-US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download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report from SAP t-code MRBR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will be 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named EXPORT.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XLSX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save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 desktop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(don't make any modifications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the file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317499</xdr:colOff>
      <xdr:row>18</xdr:row>
      <xdr:rowOff>31751</xdr:rowOff>
    </xdr:from>
    <xdr:to>
      <xdr:col>6</xdr:col>
      <xdr:colOff>309562</xdr:colOff>
      <xdr:row>22</xdr:row>
      <xdr:rowOff>53975</xdr:rowOff>
    </xdr:to>
    <xdr:sp macro="[0]!SAPreport_BEP" textlink="">
      <xdr:nvSpPr>
        <xdr:cNvPr id="22" name="Oval 21">
          <a:extLst>
            <a:ext uri="{FF2B5EF4-FFF2-40B4-BE49-F238E27FC236}">
              <a16:creationId xmlns:a16="http://schemas.microsoft.com/office/drawing/2014/main" xmlns="" id="{A9903E6B-B4E4-4D94-ABA0-4EA3A19FCADE}"/>
            </a:ext>
          </a:extLst>
        </xdr:cNvPr>
        <xdr:cNvSpPr/>
      </xdr:nvSpPr>
      <xdr:spPr>
        <a:xfrm>
          <a:off x="1539874" y="3127376"/>
          <a:ext cx="2436813" cy="657224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report</a:t>
          </a:r>
          <a:r>
            <a:rPr lang="pl-PL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for BEP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198438</xdr:colOff>
      <xdr:row>23</xdr:row>
      <xdr:rowOff>7937</xdr:rowOff>
    </xdr:from>
    <xdr:to>
      <xdr:col>4</xdr:col>
      <xdr:colOff>379413</xdr:colOff>
      <xdr:row>24</xdr:row>
      <xdr:rowOff>68262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xmlns="" id="{9D9022E5-1B9A-4C21-9B93-3B8F9C8AFAD6}"/>
            </a:ext>
          </a:extLst>
        </xdr:cNvPr>
        <xdr:cNvSpPr/>
      </xdr:nvSpPr>
      <xdr:spPr>
        <a:xfrm>
          <a:off x="2643188" y="3897312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455.981222222224" createdVersion="3" refreshedVersion="4" minRefreshableVersion="3" recordCount="663">
  <cacheSource type="worksheet">
    <worksheetSource ref="A1:Z664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 containsBlank="1"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Payment Terms_x000a_(60 days)" numFmtId="0">
      <sharedItems containsNonDate="0" containsString="0" containsBlank="1"/>
    </cacheField>
    <cacheField name="Amount in USD" numFmtId="2">
      <sharedItems containsBlank="1"/>
    </cacheField>
    <cacheField name="FX rate" numFmtId="167">
      <sharedItems containsBlank="1"/>
    </cacheField>
    <cacheField name="Quanity check" numFmtId="1">
      <sharedItems containsBlank="1"/>
    </cacheField>
    <cacheField name="Price check" numFmtId="1">
      <sharedItems containsBlank="1"/>
    </cacheField>
    <cacheField name="Payment block reason" numFmtId="0">
      <sharedItems containsNonDate="0" containsBlank="1" count="3">
        <m/>
        <s v="LIV - Quantity Discrepancy" u="1"/>
        <s v="LIV - Price Discrepancy" u="1"/>
      </sharedItems>
    </cacheField>
    <cacheField name="Due date" numFmtId="14">
      <sharedItems containsNonDate="0" containsDate="1" containsString="0" containsBlank="1" minDate="1899-12-30T00:00:00" maxDate="1899-12-31T00:00:00"/>
    </cacheField>
    <cacheField name="Aging days" numFmtId="2">
      <sharedItems containsString="0" containsBlank="1" containsNumber="1" containsInteger="1" minValue="45455" maxValue="45455"/>
    </cacheField>
    <cacheField name="Aging" numFmtId="0">
      <sharedItems containsBlank="1"/>
    </cacheField>
    <cacheField name="Owner" numFmtId="0">
      <sharedItems containsNonDate="0" containsBlank="1" count="3">
        <m/>
        <s v="Kaur Bedi Ishmeet " u="1"/>
        <s v="Elitsa Dimova Stoyanova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455.981262499998" createdVersion="3" refreshedVersion="4" minRefreshableVersion="3" recordCount="663">
  <cacheSource type="worksheet">
    <worksheetSource ref="A1:Z664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 containsBlank="1"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Payment Terms_x000a_(60 days)" numFmtId="0">
      <sharedItems containsNonDate="0" containsString="0" containsBlank="1"/>
    </cacheField>
    <cacheField name="Amount in USD" numFmtId="2">
      <sharedItems containsBlank="1"/>
    </cacheField>
    <cacheField name="FX rate" numFmtId="167">
      <sharedItems containsBlank="1"/>
    </cacheField>
    <cacheField name="Quanity check" numFmtId="1">
      <sharedItems containsBlank="1"/>
    </cacheField>
    <cacheField name="Price check" numFmtId="1">
      <sharedItems containsBlank="1"/>
    </cacheField>
    <cacheField name="Payment block reason" numFmtId="0">
      <sharedItems containsNonDate="0" containsString="0" containsBlank="1"/>
    </cacheField>
    <cacheField name="Due date" numFmtId="14">
      <sharedItems containsNonDate="0" containsDate="1" containsString="0" containsBlank="1" minDate="1899-12-30T00:00:00" maxDate="1899-12-31T00:00:00"/>
    </cacheField>
    <cacheField name="Aging days" numFmtId="2">
      <sharedItems containsString="0" containsBlank="1" containsNumber="1" containsInteger="1" minValue="45455" maxValue="45455"/>
    </cacheField>
    <cacheField name="Aging" numFmtId="0">
      <sharedItems containsBlank="1" count="8">
        <s v="[6] &gt;360 days"/>
        <m/>
        <s v="[2] 31-60 days" u="1"/>
        <s v="[4] 90-180 days" u="1"/>
        <s v="[5] 180-360 days" u="1"/>
        <s v="[0] Not due" u="1"/>
        <s v="[3] 61-90 days" u="1"/>
        <s v="[1] 1-30 days" u="1"/>
      </sharedItems>
    </cacheField>
    <cacheField name="Owner" numFmtId="0">
      <sharedItems containsNonDate="0" containsBlank="1" count="3">
        <m/>
        <s v="Kaur Bedi Ishmeet " u="1"/>
        <s v="Elitsa Dimova Stoyanova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3">
  <r>
    <m/>
    <m/>
    <m/>
    <m/>
    <m/>
    <m/>
    <m/>
    <m/>
    <m/>
    <e v="#NAME?"/>
    <m/>
    <m/>
    <m/>
    <m/>
    <m/>
    <m/>
    <e v="#N/A"/>
    <e v="#N/A"/>
    <s v="-"/>
    <s v="-"/>
    <x v="0"/>
    <d v="1899-12-30T00:00:00"/>
    <n v="45455"/>
    <s v="[6] &gt;360 days"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63">
  <r>
    <m/>
    <m/>
    <m/>
    <m/>
    <m/>
    <m/>
    <m/>
    <m/>
    <m/>
    <e v="#NAME?"/>
    <m/>
    <m/>
    <m/>
    <m/>
    <m/>
    <m/>
    <e v="#N/A"/>
    <e v="#N/A"/>
    <s v="-"/>
    <s v="-"/>
    <m/>
    <d v="1899-12-30T00:00:00"/>
    <n v="45455"/>
    <x v="0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olHeaderCaption="Aging">
  <location ref="A17:D20" firstHeaderRow="1" firstDataRow="2" firstDataCol="1"/>
  <pivotFields count="26">
    <pivotField compact="0" outline="0" showAll="0"/>
    <pivotField compact="0" outline="0" showAll="0"/>
    <pivotField dataField="1" compact="0" outline="0" showAll="0"/>
    <pivotField compact="0" outline="0" showAll="0"/>
    <pivotField compact="0" numFmtId="2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14" outline="0" showAll="0"/>
    <pivotField compact="0" outline="0" showAll="0"/>
    <pivotField compact="0" numFmtId="165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numFmtId="14" outline="0" showAll="0"/>
    <pivotField compact="0" numFmtId="2" outline="0" showAll="0"/>
    <pivotField axis="axisCol" compact="0" outline="0" showAll="0" sortType="ascending">
      <items count="9">
        <item m="1" x="5"/>
        <item m="1" x="7"/>
        <item m="1" x="2"/>
        <item m="1" x="6"/>
        <item m="1" x="3"/>
        <item m="1" x="4"/>
        <item x="0"/>
        <item x="1"/>
        <item t="default"/>
      </items>
    </pivotField>
    <pivotField axis="axisRow" compact="0" outline="0" showAll="0">
      <items count="4">
        <item x="0"/>
        <item m="1" x="2"/>
        <item m="1" x="1"/>
        <item t="default"/>
      </items>
    </pivotField>
    <pivotField compact="0" outline="0" showAll="0"/>
  </pivotFields>
  <rowFields count="1">
    <field x="24"/>
  </rowFields>
  <rowItems count="2">
    <i>
      <x/>
    </i>
    <i t="grand">
      <x/>
    </i>
  </rowItems>
  <colFields count="1">
    <field x="23"/>
  </colFields>
  <colItems count="3">
    <i>
      <x v="6"/>
    </i>
    <i>
      <x v="7"/>
    </i>
    <i t="grand">
      <x/>
    </i>
  </colItems>
  <dataFields count="1">
    <dataField name="Count of Invoice Document No." fld="2" subtotal="count" baseField="22" baseItem="1"/>
  </dataFields>
  <formats count="25">
    <format dxfId="85">
      <pivotArea type="origin" dataOnly="0" labelOnly="1" outline="0" fieldPosition="0"/>
    </format>
    <format dxfId="84">
      <pivotArea field="23" type="button" dataOnly="0" labelOnly="1" outline="0" axis="axisCol" fieldPosition="0"/>
    </format>
    <format dxfId="83">
      <pivotArea type="topRight" dataOnly="0" labelOnly="1" outline="0" fieldPosition="0"/>
    </format>
    <format dxfId="82">
      <pivotArea dataOnly="0" labelOnly="1" fieldPosition="0">
        <references count="1">
          <reference field="23" count="0"/>
        </references>
      </pivotArea>
    </format>
    <format dxfId="81">
      <pivotArea dataOnly="0" labelOnly="1" grandCol="1" outline="0" fieldPosition="0"/>
    </format>
    <format dxfId="80">
      <pivotArea type="all" dataOnly="0" outline="0" fieldPosition="0"/>
    </format>
    <format dxfId="79">
      <pivotArea field="23" type="button" dataOnly="0" labelOnly="1" outline="0" axis="axisCol" fieldPosition="0"/>
    </format>
    <format dxfId="78">
      <pivotArea type="topRight" dataOnly="0" labelOnly="1" outline="0" fieldPosition="0"/>
    </format>
    <format dxfId="77">
      <pivotArea type="topRight" dataOnly="0" labelOnly="1" outline="0" offset="C1" fieldPosition="0"/>
    </format>
    <format dxfId="76">
      <pivotArea dataOnly="0" labelOnly="1" grandCol="1" outline="0" fieldPosition="0"/>
    </format>
    <format dxfId="75">
      <pivotArea type="origin" dataOnly="0" labelOnly="1" outline="0" fieldPosition="0"/>
    </format>
    <format dxfId="74">
      <pivotArea field="23" type="button" dataOnly="0" labelOnly="1" outline="0" axis="axisCol" fieldPosition="0"/>
    </format>
    <format dxfId="73">
      <pivotArea type="topRight" dataOnly="0" labelOnly="1" outline="0" fieldPosition="0"/>
    </format>
    <format dxfId="72">
      <pivotArea dataOnly="0" labelOnly="1" fieldPosition="0">
        <references count="1">
          <reference field="23" count="0"/>
        </references>
      </pivotArea>
    </format>
    <format dxfId="71">
      <pivotArea dataOnly="0" labelOnly="1" grandCol="1" outline="0" fieldPosition="0"/>
    </format>
    <format dxfId="70">
      <pivotArea type="origin" dataOnly="0" labelOnly="1" outline="0" fieldPosition="0"/>
    </format>
    <format dxfId="69">
      <pivotArea field="23" type="button" dataOnly="0" labelOnly="1" outline="0" axis="axisCol" fieldPosition="0"/>
    </format>
    <format dxfId="68">
      <pivotArea type="topRight" dataOnly="0" labelOnly="1" outline="0" fieldPosition="0"/>
    </format>
    <format dxfId="67">
      <pivotArea dataOnly="0" labelOnly="1" fieldPosition="0">
        <references count="1">
          <reference field="23" count="0"/>
        </references>
      </pivotArea>
    </format>
    <format dxfId="66">
      <pivotArea dataOnly="0" labelOnly="1" grandCol="1" outline="0" fieldPosition="0"/>
    </format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grandRow="1" outline="0" collapsedLevelsAreSubtotals="1" fieldPosition="0"/>
    </format>
    <format dxfId="62">
      <pivotArea dataOnly="0" labelOnly="1" grandRow="1" outline="0" fieldPosition="0"/>
    </format>
    <format dxfId="61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Owner" colHeaderCaption="R-block reason">
  <location ref="A3:E7" firstHeaderRow="1" firstDataRow="3" firstDataCol="1"/>
  <pivotFields count="26">
    <pivotField showAll="0"/>
    <pivotField showAll="0"/>
    <pivotField dataField="1" showAll="0"/>
    <pivotField showAll="0"/>
    <pivotField numFmtId="2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numFmtId="2" showAll="0"/>
    <pivotField numFmtId="14" showAll="0"/>
    <pivotField showAll="0"/>
    <pivotField dataField="1" numFmtId="165" showAll="0" defaultSubtotal="0"/>
    <pivotField showAll="0" defaultSubtotal="0"/>
    <pivotField showAll="0"/>
    <pivotField showAll="0"/>
    <pivotField axis="axisCol" showAll="0">
      <items count="4">
        <item m="1" x="2"/>
        <item m="1" x="1"/>
        <item x="0"/>
        <item t="default"/>
      </items>
    </pivotField>
    <pivotField numFmtId="14" showAll="0"/>
    <pivotField numFmtId="2" showAll="0"/>
    <pivotField showAll="0"/>
    <pivotField axis="axisRow" showAll="0">
      <items count="4">
        <item x="0"/>
        <item m="1" x="2"/>
        <item m="1" x="1"/>
        <item t="default"/>
      </items>
    </pivotField>
    <pivotField showAll="0"/>
  </pivotFields>
  <rowFields count="1">
    <field x="24"/>
  </rowFields>
  <rowItems count="2">
    <i>
      <x/>
    </i>
    <i t="grand">
      <x/>
    </i>
  </rowItems>
  <colFields count="2">
    <field x="-2"/>
    <field x="20"/>
  </colFields>
  <colItems count="4">
    <i>
      <x/>
      <x v="2"/>
    </i>
    <i i="1">
      <x v="1"/>
      <x v="2"/>
    </i>
    <i t="grand">
      <x/>
    </i>
    <i t="grand" i="1">
      <x/>
    </i>
  </colItems>
  <dataFields count="2">
    <dataField name="Sum of Amount in USD" fld="16" baseField="0" baseItem="0" numFmtId="166"/>
    <dataField name="Count of Invoice Document No." fld="2" subtotal="count" baseField="23" baseItem="2"/>
  </dataFields>
  <formats count="32">
    <format dxfId="117">
      <pivotArea dataOnly="0" labelOnly="1" grandCol="1" outline="0" fieldPosition="0"/>
    </format>
    <format dxfId="116">
      <pivotArea dataOnly="0" labelOnly="1" grandCol="1" outline="0" fieldPosition="0"/>
    </format>
    <format dxfId="115">
      <pivotArea dataOnly="0" labelOnly="1" grandCol="1" outline="0" fieldPosition="0"/>
    </format>
    <format dxfId="114">
      <pivotArea type="origin" dataOnly="0" labelOnly="1" outline="0" fieldPosition="0"/>
    </format>
    <format dxfId="113">
      <pivotArea field="20" type="button" dataOnly="0" labelOnly="1" outline="0" axis="axisCol" fieldPosition="1"/>
    </format>
    <format dxfId="112">
      <pivotArea type="topRight" dataOnly="0" labelOnly="1" outline="0" fieldPosition="0"/>
    </format>
    <format dxfId="111">
      <pivotArea dataOnly="0" labelOnly="1" grandCol="1" outline="0" fieldPosition="0"/>
    </format>
    <format dxfId="110">
      <pivotArea type="all" dataOnly="0" outline="0" fieldPosition="0"/>
    </format>
    <format dxfId="109">
      <pivotArea field="20" type="button" dataOnly="0" labelOnly="1" outline="0" axis="axisCol" fieldPosition="1"/>
    </format>
    <format dxfId="108">
      <pivotArea type="topRight" dataOnly="0" labelOnly="1" outline="0" fieldPosition="0"/>
    </format>
    <format dxfId="107">
      <pivotArea type="topRight" dataOnly="0" labelOnly="1" outline="0" offset="C1" fieldPosition="0"/>
    </format>
    <format dxfId="106">
      <pivotArea dataOnly="0" labelOnly="1" grandCol="1" outline="0" fieldPosition="0"/>
    </format>
    <format dxfId="105">
      <pivotArea outline="0" collapsedLevelsAreSubtotals="1" fieldPosition="0"/>
    </format>
    <format dxfId="104">
      <pivotArea type="origin" dataOnly="0" labelOnly="1" outline="0" fieldPosition="0"/>
    </format>
    <format dxfId="103">
      <pivotArea field="20" type="button" dataOnly="0" labelOnly="1" outline="0" axis="axisCol" fieldPosition="1"/>
    </format>
    <format dxfId="102">
      <pivotArea type="topRight" dataOnly="0" labelOnly="1" outline="0" fieldPosition="0"/>
    </format>
    <format dxfId="101">
      <pivotArea dataOnly="0" labelOnly="1" grandCol="1" outline="0" fieldPosition="0"/>
    </format>
    <format dxfId="100">
      <pivotArea type="origin" dataOnly="0" labelOnly="1" outline="0" fieldPosition="0"/>
    </format>
    <format dxfId="99">
      <pivotArea field="20" type="button" dataOnly="0" labelOnly="1" outline="0" axis="axisCol" fieldPosition="1"/>
    </format>
    <format dxfId="98">
      <pivotArea type="topRight" dataOnly="0" labelOnly="1" outline="0" fieldPosition="0"/>
    </format>
    <format dxfId="97">
      <pivotArea dataOnly="0" labelOnly="1" grandCol="1" outline="0" fieldPosition="0"/>
    </format>
    <format dxfId="96">
      <pivotArea grandRow="1" outline="0" collapsedLevelsAreSubtotals="1" fieldPosition="0"/>
    </format>
    <format dxfId="95">
      <pivotArea dataOnly="0" labelOnly="1" grandRow="1" outline="0" fieldPosition="0"/>
    </format>
    <format dxfId="94">
      <pivotArea grandRow="1" outline="0" collapsedLevelsAreSubtotals="1" fieldPosition="0"/>
    </format>
    <format dxfId="93">
      <pivotArea dataOnly="0" labelOnly="1" grandRow="1" outline="0" fieldPosition="0"/>
    </format>
    <format dxfId="92">
      <pivotArea dataOnly="0" labelOnly="1" fieldPosition="0">
        <references count="1">
          <reference field="20" count="0"/>
        </references>
      </pivotArea>
    </format>
    <format dxfId="91">
      <pivotArea dataOnly="0" labelOnly="1" fieldPosition="0">
        <references count="1">
          <reference field="20" count="0"/>
        </references>
      </pivotArea>
    </format>
    <format dxfId="90">
      <pivotArea dataOnly="0" labelOnly="1" fieldPosition="0">
        <references count="1">
          <reference field="20" count="0"/>
        </references>
      </pivotArea>
    </format>
    <format dxfId="89">
      <pivotArea dataOnly="0" labelOnly="1" fieldPosition="0">
        <references count="1">
          <reference field="20" count="0"/>
        </references>
      </pivotArea>
    </format>
    <format dxfId="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7">
      <pivotArea field="-2" type="button" dataOnly="0" labelOnly="1" outline="0" axis="axisCol" fieldPosition="0"/>
    </format>
    <format dxfId="86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45"/>
  <sheetViews>
    <sheetView showGridLines="0" tabSelected="1" zoomScale="80" zoomScaleNormal="80" workbookViewId="0">
      <selection activeCell="A2" sqref="A2"/>
    </sheetView>
  </sheetViews>
  <sheetFormatPr defaultRowHeight="12.75"/>
  <cols>
    <col min="1" max="1" width="8.7109375" style="1"/>
  </cols>
  <sheetData>
    <row r="1" spans="3:7" ht="22.5" customHeight="1" thickBot="1"/>
    <row r="2" spans="3:7" ht="21.75" thickBot="1">
      <c r="C2" s="39" t="s">
        <v>36</v>
      </c>
      <c r="D2" s="40"/>
      <c r="E2" s="40"/>
      <c r="F2" s="40"/>
      <c r="G2" s="41"/>
    </row>
    <row r="11" spans="3:7">
      <c r="E11" s="11"/>
    </row>
    <row r="17" spans="3:3" s="1" customFormat="1"/>
    <row r="18" spans="3:3" s="1" customFormat="1"/>
    <row r="19" spans="3:3" s="1" customFormat="1"/>
    <row r="20" spans="3:3" s="1" customFormat="1"/>
    <row r="21" spans="3:3" s="1" customFormat="1"/>
    <row r="22" spans="3:3" s="1" customFormat="1"/>
    <row r="23" spans="3:3" s="1" customFormat="1"/>
    <row r="24" spans="3:3" s="1" customFormat="1"/>
    <row r="28" spans="3:3">
      <c r="C28" s="11"/>
    </row>
    <row r="29" spans="3:3">
      <c r="C29" s="11"/>
    </row>
    <row r="42" spans="3:9">
      <c r="C42" s="11"/>
    </row>
    <row r="44" spans="3:9">
      <c r="I44" s="36"/>
    </row>
    <row r="45" spans="3:9">
      <c r="I45" s="11"/>
    </row>
  </sheetData>
  <mergeCells count="1">
    <mergeCell ref="C2:G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L50"/>
  <sheetViews>
    <sheetView zoomScale="80" zoomScaleNormal="80" workbookViewId="0">
      <selection activeCell="A13" sqref="A13"/>
    </sheetView>
  </sheetViews>
  <sheetFormatPr defaultColWidth="7.7109375" defaultRowHeight="12.75"/>
  <cols>
    <col min="1" max="1" width="28.85546875" customWidth="1"/>
    <col min="2" max="3" width="12.85546875" customWidth="1"/>
    <col min="4" max="4" width="15" bestFit="1" customWidth="1"/>
    <col min="5" max="5" width="20.85546875" bestFit="1" customWidth="1"/>
    <col min="6" max="8" width="13.5703125" bestFit="1" customWidth="1"/>
    <col min="9" max="9" width="10" bestFit="1" customWidth="1"/>
    <col min="10" max="10" width="20.5703125" bestFit="1" customWidth="1"/>
    <col min="11" max="11" width="18.42578125" bestFit="1" customWidth="1"/>
    <col min="12" max="12" width="21.7109375" bestFit="1" customWidth="1"/>
  </cols>
  <sheetData>
    <row r="1" spans="1:12" s="1" customFormat="1" ht="15">
      <c r="A1" s="2" t="s">
        <v>22</v>
      </c>
    </row>
    <row r="2" spans="1:12" s="1" customFormat="1" ht="15">
      <c r="A2" s="2"/>
    </row>
    <row r="3" spans="1:12">
      <c r="A3" s="43"/>
      <c r="B3" s="43" t="s">
        <v>21</v>
      </c>
      <c r="C3" s="43"/>
      <c r="D3" s="44"/>
      <c r="E3" s="45"/>
    </row>
    <row r="4" spans="1:12" ht="33.950000000000003" customHeight="1">
      <c r="A4" s="43"/>
      <c r="B4" s="43" t="s">
        <v>30</v>
      </c>
      <c r="C4" s="43" t="s">
        <v>20</v>
      </c>
      <c r="D4" s="46" t="s">
        <v>38</v>
      </c>
      <c r="E4" s="46" t="s">
        <v>39</v>
      </c>
    </row>
    <row r="5" spans="1:12">
      <c r="A5" s="43" t="s">
        <v>3</v>
      </c>
      <c r="B5" s="51" t="s">
        <v>40</v>
      </c>
      <c r="C5" s="51" t="s">
        <v>40</v>
      </c>
      <c r="D5" s="47"/>
      <c r="E5" s="47"/>
    </row>
    <row r="6" spans="1:12">
      <c r="A6" s="27" t="s">
        <v>40</v>
      </c>
      <c r="B6" s="8" t="e">
        <v>#N/A</v>
      </c>
      <c r="C6" s="8"/>
      <c r="D6" s="8" t="e">
        <v>#N/A</v>
      </c>
      <c r="E6" s="8"/>
    </row>
    <row r="7" spans="1:12">
      <c r="A7" s="49" t="s">
        <v>41</v>
      </c>
      <c r="B7" s="48" t="e">
        <v>#N/A</v>
      </c>
      <c r="C7" s="48"/>
      <c r="D7" s="48" t="e">
        <v>#N/A</v>
      </c>
      <c r="E7" s="48"/>
    </row>
    <row r="9" spans="1:12" s="1" customFormat="1">
      <c r="A9"/>
      <c r="B9"/>
      <c r="C9"/>
      <c r="D9"/>
      <c r="E9"/>
      <c r="F9"/>
      <c r="G9"/>
      <c r="H9"/>
      <c r="I9"/>
      <c r="J9"/>
      <c r="K9"/>
      <c r="L9"/>
    </row>
    <row r="10" spans="1:12" s="1" customFormat="1">
      <c r="A10"/>
      <c r="B10"/>
      <c r="C10"/>
      <c r="D10"/>
      <c r="E10"/>
      <c r="F10"/>
      <c r="G10"/>
      <c r="H10"/>
      <c r="I10"/>
      <c r="J10"/>
      <c r="K10"/>
      <c r="L10"/>
    </row>
    <row r="11" spans="1:12" s="1" customFormat="1">
      <c r="A11"/>
      <c r="B11"/>
      <c r="C11"/>
      <c r="D11"/>
      <c r="E11"/>
      <c r="F11"/>
      <c r="G11"/>
      <c r="H11"/>
      <c r="I11"/>
      <c r="J11"/>
      <c r="K11"/>
      <c r="L11"/>
    </row>
    <row r="12" spans="1:12" s="1" customFormat="1">
      <c r="A12"/>
      <c r="B12"/>
      <c r="C12"/>
      <c r="D12"/>
      <c r="E12"/>
      <c r="F12"/>
      <c r="G12"/>
      <c r="H12"/>
      <c r="I12"/>
      <c r="J12"/>
      <c r="K12"/>
    </row>
    <row r="13" spans="1:12" s="1" customFormat="1">
      <c r="A13"/>
      <c r="B13"/>
      <c r="C13"/>
      <c r="D13"/>
      <c r="E13"/>
      <c r="F13"/>
      <c r="G13"/>
      <c r="H13"/>
      <c r="I13"/>
      <c r="J13"/>
      <c r="K13"/>
    </row>
    <row r="14" spans="1:12" s="1" customFormat="1">
      <c r="A14"/>
      <c r="B14"/>
      <c r="C14"/>
      <c r="D14"/>
      <c r="E14"/>
      <c r="F14"/>
      <c r="G14"/>
      <c r="H14"/>
      <c r="I14"/>
      <c r="J14"/>
      <c r="K14"/>
    </row>
    <row r="15" spans="1:12" s="1" customFormat="1">
      <c r="A15"/>
      <c r="B15"/>
      <c r="C15"/>
      <c r="D15"/>
      <c r="E15"/>
      <c r="F15"/>
      <c r="G15"/>
      <c r="H15"/>
      <c r="I15"/>
      <c r="J15"/>
      <c r="K15"/>
      <c r="L15"/>
    </row>
    <row r="16" spans="1:12" ht="15">
      <c r="A16" s="2" t="s">
        <v>34</v>
      </c>
    </row>
    <row r="17" spans="1:10">
      <c r="A17" s="43" t="s">
        <v>20</v>
      </c>
      <c r="B17" s="43" t="s">
        <v>4</v>
      </c>
      <c r="C17" s="44"/>
      <c r="D17" s="45"/>
    </row>
    <row r="18" spans="1:10">
      <c r="A18" s="43" t="s">
        <v>3</v>
      </c>
      <c r="B18" s="43" t="s">
        <v>33</v>
      </c>
      <c r="C18" s="43" t="s">
        <v>40</v>
      </c>
      <c r="D18" s="43" t="s">
        <v>41</v>
      </c>
    </row>
    <row r="19" spans="1:10" s="9" customFormat="1">
      <c r="A19" s="3" t="s">
        <v>40</v>
      </c>
      <c r="B19" s="4"/>
      <c r="C19" s="4"/>
      <c r="D19" s="4"/>
      <c r="E19"/>
      <c r="F19"/>
      <c r="G19"/>
      <c r="H19"/>
      <c r="I19"/>
      <c r="J19"/>
    </row>
    <row r="20" spans="1:10" s="9" customFormat="1">
      <c r="A20" s="50" t="s">
        <v>41</v>
      </c>
      <c r="B20" s="52"/>
      <c r="C20" s="52"/>
      <c r="D20" s="52"/>
      <c r="E20"/>
      <c r="F20"/>
      <c r="G20"/>
      <c r="H20"/>
      <c r="I20"/>
      <c r="J20"/>
    </row>
    <row r="21" spans="1:10" s="9" customFormat="1">
      <c r="A21"/>
      <c r="B21"/>
      <c r="C21"/>
      <c r="D21"/>
      <c r="E21"/>
      <c r="F21"/>
      <c r="G21"/>
      <c r="H21"/>
      <c r="I21"/>
      <c r="J21"/>
    </row>
    <row r="22" spans="1:10" s="9" customFormat="1">
      <c r="A22"/>
      <c r="B22"/>
      <c r="C22"/>
      <c r="D22"/>
      <c r="E22"/>
      <c r="F22"/>
      <c r="G22"/>
      <c r="H22"/>
      <c r="I22"/>
      <c r="J22"/>
    </row>
    <row r="23" spans="1:10" s="9" customFormat="1">
      <c r="A23"/>
      <c r="B23"/>
      <c r="C23"/>
      <c r="D23"/>
      <c r="E23"/>
      <c r="F23"/>
      <c r="G23"/>
      <c r="H23"/>
      <c r="I23"/>
      <c r="J23"/>
    </row>
    <row r="24" spans="1:10" s="9" customFormat="1">
      <c r="A24"/>
      <c r="B24"/>
      <c r="C24"/>
      <c r="D24"/>
      <c r="E24"/>
      <c r="F24"/>
      <c r="G24"/>
      <c r="H24"/>
      <c r="I24"/>
      <c r="J24"/>
    </row>
    <row r="25" spans="1:10" s="9" customFormat="1">
      <c r="A25"/>
      <c r="B25"/>
      <c r="C25"/>
      <c r="D25"/>
      <c r="E25"/>
      <c r="F25"/>
      <c r="G25"/>
      <c r="H25"/>
      <c r="I25"/>
      <c r="J25"/>
    </row>
    <row r="26" spans="1:10" s="9" customFormat="1">
      <c r="A26"/>
      <c r="B26"/>
      <c r="C26"/>
      <c r="D26"/>
      <c r="E26"/>
      <c r="F26"/>
      <c r="G26"/>
      <c r="H26"/>
      <c r="I26"/>
      <c r="J26"/>
    </row>
    <row r="27" spans="1:10" s="9" customFormat="1">
      <c r="A27"/>
      <c r="B27"/>
      <c r="C27"/>
      <c r="D27"/>
      <c r="E27"/>
      <c r="F27"/>
      <c r="G27"/>
      <c r="H27"/>
      <c r="I27"/>
      <c r="J27"/>
    </row>
    <row r="28" spans="1:10" s="9" customFormat="1">
      <c r="A28"/>
      <c r="B28"/>
      <c r="C28"/>
      <c r="D28"/>
      <c r="E28"/>
      <c r="F28"/>
      <c r="G28"/>
      <c r="H28"/>
      <c r="I28"/>
      <c r="J28"/>
    </row>
    <row r="29" spans="1:10" s="9" customFormat="1">
      <c r="A29"/>
      <c r="B29"/>
      <c r="C29"/>
      <c r="D29"/>
      <c r="E29"/>
      <c r="F29"/>
      <c r="G29"/>
      <c r="H29"/>
      <c r="I29"/>
      <c r="J29"/>
    </row>
    <row r="30" spans="1:10" s="9" customFormat="1">
      <c r="A30"/>
      <c r="B30"/>
      <c r="C30"/>
      <c r="D30"/>
      <c r="E30"/>
      <c r="F30"/>
      <c r="G30"/>
      <c r="H30"/>
      <c r="I30"/>
      <c r="J30"/>
    </row>
    <row r="31" spans="1:10" s="9" customFormat="1">
      <c r="A31"/>
      <c r="B31"/>
      <c r="C31"/>
      <c r="D31"/>
      <c r="E31"/>
      <c r="F31"/>
      <c r="G31"/>
      <c r="H31"/>
      <c r="I31"/>
      <c r="J31"/>
    </row>
    <row r="32" spans="1:10" s="9" customFormat="1">
      <c r="A32"/>
      <c r="B32"/>
      <c r="C32"/>
      <c r="D32"/>
      <c r="E32"/>
      <c r="F32"/>
      <c r="G32"/>
      <c r="H32"/>
      <c r="I32"/>
      <c r="J32"/>
    </row>
    <row r="33" spans="1:10" s="9" customFormat="1">
      <c r="A33"/>
      <c r="B33"/>
      <c r="C33"/>
      <c r="D33"/>
      <c r="E33"/>
      <c r="F33"/>
      <c r="G33"/>
      <c r="H33"/>
      <c r="I33"/>
      <c r="J33"/>
    </row>
    <row r="34" spans="1:10" s="9" customFormat="1">
      <c r="A34"/>
      <c r="B34"/>
      <c r="C34"/>
      <c r="D34"/>
      <c r="E34"/>
      <c r="F34"/>
      <c r="G34"/>
      <c r="H34"/>
      <c r="I34"/>
      <c r="J34"/>
    </row>
    <row r="35" spans="1:10" s="9" customFormat="1">
      <c r="A35"/>
      <c r="B35"/>
      <c r="C35"/>
      <c r="D35"/>
      <c r="E35"/>
      <c r="F35"/>
      <c r="G35"/>
      <c r="H35"/>
      <c r="I35"/>
      <c r="J35"/>
    </row>
    <row r="36" spans="1:10" s="9" customFormat="1" ht="14.45" customHeight="1">
      <c r="A36"/>
      <c r="B36"/>
      <c r="C36"/>
      <c r="D36"/>
      <c r="E36"/>
      <c r="F36"/>
      <c r="G36"/>
      <c r="H36"/>
      <c r="I36"/>
      <c r="J36"/>
    </row>
    <row r="37" spans="1:10" s="9" customFormat="1">
      <c r="A37"/>
      <c r="B37"/>
      <c r="C37"/>
      <c r="D37"/>
      <c r="E37"/>
      <c r="F37"/>
      <c r="G37"/>
      <c r="H37"/>
      <c r="I37"/>
      <c r="J37"/>
    </row>
    <row r="38" spans="1:10" s="9" customFormat="1">
      <c r="A38"/>
      <c r="B38"/>
      <c r="C38"/>
      <c r="D38"/>
      <c r="E38"/>
      <c r="F38"/>
      <c r="G38"/>
      <c r="H38"/>
      <c r="I38"/>
      <c r="J38"/>
    </row>
    <row r="39" spans="1:10" s="9" customFormat="1">
      <c r="A39"/>
      <c r="B39"/>
      <c r="C39"/>
      <c r="D39"/>
      <c r="E39"/>
      <c r="F39"/>
      <c r="G39"/>
      <c r="H39"/>
      <c r="I39"/>
      <c r="J39"/>
    </row>
    <row r="40" spans="1:10" s="9" customFormat="1">
      <c r="A40"/>
      <c r="B40"/>
      <c r="C40"/>
      <c r="D40"/>
      <c r="E40"/>
      <c r="F40"/>
      <c r="G40"/>
      <c r="H40"/>
      <c r="I40"/>
      <c r="J40"/>
    </row>
    <row r="41" spans="1:10" s="9" customFormat="1">
      <c r="A41"/>
      <c r="B41"/>
      <c r="C41"/>
      <c r="D41"/>
      <c r="E41"/>
      <c r="F41"/>
      <c r="G41"/>
      <c r="H41"/>
      <c r="I41"/>
      <c r="J41"/>
    </row>
    <row r="42" spans="1:10" s="9" customFormat="1">
      <c r="A42"/>
      <c r="B42"/>
      <c r="C42"/>
      <c r="D42"/>
      <c r="E42"/>
      <c r="F42"/>
      <c r="G42"/>
      <c r="H42"/>
      <c r="I42"/>
      <c r="J42"/>
    </row>
    <row r="43" spans="1:10" s="9" customFormat="1">
      <c r="A43"/>
      <c r="B43"/>
      <c r="C43"/>
      <c r="D43"/>
      <c r="E43"/>
      <c r="F43"/>
      <c r="G43"/>
      <c r="H43"/>
      <c r="I43"/>
      <c r="J43"/>
    </row>
    <row r="44" spans="1:10" s="9" customFormat="1">
      <c r="A44"/>
      <c r="B44"/>
      <c r="C44"/>
      <c r="D44"/>
      <c r="E44"/>
      <c r="F44"/>
      <c r="G44"/>
      <c r="H44"/>
      <c r="I44"/>
      <c r="J44"/>
    </row>
    <row r="45" spans="1:10" s="9" customFormat="1">
      <c r="A45"/>
      <c r="B45"/>
      <c r="C45"/>
      <c r="D45"/>
      <c r="E45"/>
      <c r="F45"/>
      <c r="G45"/>
      <c r="H45"/>
      <c r="I45"/>
      <c r="J45"/>
    </row>
    <row r="46" spans="1:10" s="9" customFormat="1">
      <c r="A46"/>
      <c r="B46"/>
      <c r="C46"/>
      <c r="D46"/>
      <c r="E46"/>
      <c r="F46"/>
      <c r="G46"/>
      <c r="H46"/>
      <c r="I46"/>
      <c r="J46"/>
    </row>
    <row r="47" spans="1:10" s="9" customFormat="1">
      <c r="A47"/>
      <c r="B47"/>
      <c r="C47"/>
      <c r="D47"/>
      <c r="E47"/>
      <c r="F47"/>
      <c r="G47"/>
      <c r="H47"/>
      <c r="I47"/>
      <c r="J47"/>
    </row>
    <row r="48" spans="1:10" s="9" customFormat="1">
      <c r="A48"/>
      <c r="B48"/>
      <c r="C48"/>
      <c r="D48"/>
      <c r="E48"/>
      <c r="F48"/>
      <c r="G48"/>
      <c r="H48"/>
      <c r="I48"/>
      <c r="J48"/>
    </row>
    <row r="49" spans="1:10" s="9" customFormat="1">
      <c r="A49"/>
      <c r="B49"/>
      <c r="C49"/>
      <c r="D49"/>
      <c r="E49"/>
      <c r="F49"/>
      <c r="G49"/>
      <c r="H49"/>
      <c r="I49"/>
      <c r="J49"/>
    </row>
    <row r="50" spans="1:10" s="9" customFormat="1">
      <c r="A50"/>
      <c r="B50"/>
      <c r="C50"/>
      <c r="D50"/>
      <c r="E50"/>
      <c r="F50"/>
      <c r="G50"/>
      <c r="H50"/>
      <c r="I50"/>
      <c r="J50"/>
    </row>
  </sheetData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A664"/>
  <sheetViews>
    <sheetView zoomScale="80" zoomScaleNormal="80" workbookViewId="0">
      <pane xSplit="10" ySplit="2" topLeftCell="K3" activePane="bottomRight" state="frozen"/>
      <selection activeCell="E28" sqref="E28"/>
      <selection pane="topRight" activeCell="E28" sqref="E28"/>
      <selection pane="bottomLeft" activeCell="E28" sqref="E28"/>
      <selection pane="bottomRight" activeCell="U14" sqref="U14"/>
    </sheetView>
  </sheetViews>
  <sheetFormatPr defaultRowHeight="12.75"/>
  <cols>
    <col min="1" max="2" width="11.42578125" style="12" customWidth="1"/>
    <col min="3" max="3" width="11.42578125" style="42" customWidth="1"/>
    <col min="4" max="6" width="11.42578125" style="12" customWidth="1"/>
    <col min="7" max="7" width="11.42578125" style="15" customWidth="1"/>
    <col min="8" max="9" width="11.42578125" style="12" customWidth="1"/>
    <col min="10" max="10" width="13.85546875" style="42" customWidth="1"/>
    <col min="11" max="14" width="11.42578125" style="12" customWidth="1"/>
    <col min="15" max="15" width="11.42578125" style="15" customWidth="1"/>
    <col min="16" max="16" width="13.85546875" style="29" customWidth="1"/>
    <col min="17" max="17" width="16.140625" style="12" customWidth="1"/>
    <col min="18" max="20" width="11.42578125" style="12" hidden="1" customWidth="1"/>
    <col min="21" max="21" width="22.5703125" style="12" bestFit="1" customWidth="1"/>
    <col min="22" max="23" width="11.42578125" style="12" hidden="1" customWidth="1"/>
    <col min="24" max="25" width="11.42578125" style="12" customWidth="1"/>
    <col min="26" max="26" width="12.7109375" style="12" customWidth="1"/>
  </cols>
  <sheetData>
    <row r="1" spans="1:27" s="1" customFormat="1" ht="44.1" customHeight="1">
      <c r="A1" s="13" t="s">
        <v>35</v>
      </c>
      <c r="B1" s="18" t="s">
        <v>7</v>
      </c>
      <c r="C1" s="38" t="s">
        <v>8</v>
      </c>
      <c r="D1" s="18" t="s">
        <v>0</v>
      </c>
      <c r="E1" s="19" t="s">
        <v>9</v>
      </c>
      <c r="F1" s="18" t="s">
        <v>10</v>
      </c>
      <c r="G1" s="20" t="s">
        <v>11</v>
      </c>
      <c r="H1" s="18" t="s">
        <v>1</v>
      </c>
      <c r="I1" s="21" t="s">
        <v>31</v>
      </c>
      <c r="J1" s="37" t="s">
        <v>32</v>
      </c>
      <c r="K1" s="18" t="s">
        <v>12</v>
      </c>
      <c r="L1" s="18" t="s">
        <v>2</v>
      </c>
      <c r="M1" s="18" t="s">
        <v>13</v>
      </c>
      <c r="N1" s="18" t="s">
        <v>14</v>
      </c>
      <c r="O1" s="20" t="s">
        <v>15</v>
      </c>
      <c r="P1" s="28" t="s">
        <v>37</v>
      </c>
      <c r="Q1" s="22" t="s">
        <v>28</v>
      </c>
      <c r="R1" s="23" t="s">
        <v>29</v>
      </c>
      <c r="S1" s="24" t="s">
        <v>17</v>
      </c>
      <c r="T1" s="23" t="s">
        <v>18</v>
      </c>
      <c r="U1" s="23" t="s">
        <v>19</v>
      </c>
      <c r="V1" s="23" t="s">
        <v>16</v>
      </c>
      <c r="W1" s="23" t="s">
        <v>5</v>
      </c>
      <c r="X1" s="23" t="s">
        <v>4</v>
      </c>
      <c r="Y1" s="24" t="s">
        <v>3</v>
      </c>
      <c r="Z1" s="23" t="s">
        <v>6</v>
      </c>
    </row>
    <row r="2" spans="1:27" s="1" customFormat="1">
      <c r="A2" s="12"/>
      <c r="B2" s="12"/>
      <c r="C2" s="25"/>
      <c r="D2" s="12"/>
      <c r="E2" s="12"/>
      <c r="F2" s="12"/>
      <c r="G2" s="15"/>
      <c r="H2" s="12"/>
      <c r="I2" s="12"/>
      <c r="J2" s="25" t="e">
        <f t="shared" ref="J2:J65" ca="1" si="0">_xlfn.CONCAT(H2,I2)</f>
        <v>#NAME?</v>
      </c>
      <c r="K2" s="12"/>
      <c r="L2" s="12"/>
      <c r="M2" s="12"/>
      <c r="N2" s="12"/>
      <c r="O2" s="15"/>
      <c r="P2" s="29"/>
      <c r="Q2" s="30" t="e">
        <f t="shared" ref="Q2:Q65" si="1">R2*E2</f>
        <v>#N/A</v>
      </c>
      <c r="R2" s="26" t="e">
        <f>VLOOKUP(F2,EX.RATES!$B:$E,4,FALSE)</f>
        <v>#N/A</v>
      </c>
      <c r="S2" s="14" t="str">
        <f t="shared" ref="S2:S65" si="2">IF(M2=0,"-",IF(M2&lt;0,"LIV - Quantity Discrepancy",IF(M2&gt;0,"LIV - Quantity Discrepancy")))</f>
        <v>-</v>
      </c>
      <c r="T2" s="14" t="str">
        <f t="shared" ref="T2:T65" si="3">IF(N2=0,"-",IF(N2&lt;0,"LIV - Price Discrepancy",IF(N2&gt;0,"LIV - Price Discrepancy")))</f>
        <v>-</v>
      </c>
      <c r="U2" s="12"/>
      <c r="V2" s="15">
        <f t="shared" ref="V2:V65" si="4">O2+P2</f>
        <v>0</v>
      </c>
      <c r="W2" s="16">
        <f t="shared" ref="W2:W65" ca="1" si="5">TODAY()-V2</f>
        <v>45455</v>
      </c>
      <c r="X2" s="17" t="str">
        <f t="shared" ref="X2:X65" ca="1" si="6">IF(W2&lt;=0,"[0] Not due",IF(W2&lt;=30,"[1] 1-30 days",IF(W2&lt;=60,"[2] 31-60 days",IF(W2&lt;=90,"[3] 61-90 days",IF(W2&lt;=180,"[4] 90-180 days",IF(W2&lt;=360,"[5] 180-360 days","[6] &gt;360 days"))))))</f>
        <v>[6] &gt;360 days</v>
      </c>
      <c r="Y2" s="10"/>
      <c r="Z2" s="34"/>
    </row>
    <row r="3" spans="1:27">
      <c r="Q3" s="30"/>
      <c r="R3" s="26"/>
      <c r="S3" s="14"/>
      <c r="T3" s="14"/>
      <c r="V3" s="15"/>
      <c r="W3" s="16"/>
      <c r="X3" s="17"/>
      <c r="Y3" s="10"/>
      <c r="Z3" s="34"/>
    </row>
    <row r="4" spans="1:27">
      <c r="Q4" s="30"/>
      <c r="R4" s="26"/>
      <c r="S4" s="14"/>
      <c r="T4" s="14"/>
      <c r="V4" s="15"/>
      <c r="W4" s="16"/>
      <c r="X4" s="17"/>
      <c r="Y4" s="10"/>
      <c r="Z4" s="34"/>
    </row>
    <row r="5" spans="1:27">
      <c r="Q5" s="30"/>
      <c r="R5" s="26"/>
      <c r="S5" s="14"/>
      <c r="T5" s="14"/>
      <c r="V5" s="15"/>
      <c r="W5" s="16"/>
      <c r="X5" s="17"/>
      <c r="Y5" s="10"/>
      <c r="Z5" s="34"/>
    </row>
    <row r="6" spans="1:27">
      <c r="Q6" s="30"/>
      <c r="R6" s="26"/>
      <c r="S6" s="14"/>
      <c r="T6" s="14"/>
      <c r="V6" s="15"/>
      <c r="W6" s="16"/>
      <c r="X6" s="17"/>
      <c r="Y6" s="10"/>
      <c r="Z6" s="34"/>
    </row>
    <row r="7" spans="1:27">
      <c r="Q7" s="30"/>
      <c r="R7" s="26"/>
      <c r="S7" s="14"/>
      <c r="T7" s="14"/>
      <c r="V7" s="15"/>
      <c r="W7" s="16"/>
      <c r="X7" s="17"/>
      <c r="Y7" s="10"/>
      <c r="Z7" s="34"/>
    </row>
    <row r="8" spans="1:27">
      <c r="Q8" s="30"/>
      <c r="R8" s="26"/>
      <c r="S8" s="14"/>
      <c r="T8" s="14"/>
      <c r="V8" s="15"/>
      <c r="W8" s="16"/>
      <c r="X8" s="17"/>
      <c r="Y8" s="10"/>
      <c r="Z8" s="34"/>
    </row>
    <row r="9" spans="1:27">
      <c r="Q9" s="30"/>
      <c r="R9" s="26"/>
      <c r="S9" s="14"/>
      <c r="T9" s="14"/>
      <c r="V9" s="15"/>
      <c r="W9" s="16"/>
      <c r="X9" s="17"/>
      <c r="Y9" s="10"/>
      <c r="Z9" s="34"/>
    </row>
    <row r="10" spans="1:27">
      <c r="Q10" s="30"/>
      <c r="R10" s="26"/>
      <c r="S10" s="14"/>
      <c r="T10" s="14"/>
      <c r="V10" s="15"/>
      <c r="W10" s="16"/>
      <c r="X10" s="17"/>
      <c r="Y10" s="10"/>
      <c r="Z10" s="34"/>
    </row>
    <row r="11" spans="1:27">
      <c r="Q11" s="30"/>
      <c r="R11" s="26"/>
      <c r="S11" s="14"/>
      <c r="T11" s="14"/>
      <c r="V11" s="15"/>
      <c r="W11" s="16"/>
      <c r="X11" s="17"/>
      <c r="Y11" s="10"/>
      <c r="Z11" s="34"/>
    </row>
    <row r="12" spans="1:27">
      <c r="Q12" s="30"/>
      <c r="R12" s="26"/>
      <c r="S12" s="14"/>
      <c r="T12" s="14"/>
      <c r="V12" s="15"/>
      <c r="W12" s="16"/>
      <c r="X12" s="17"/>
      <c r="Y12" s="10"/>
      <c r="Z12" s="34"/>
    </row>
    <row r="13" spans="1:27">
      <c r="Q13" s="30"/>
      <c r="R13" s="26"/>
      <c r="S13" s="14"/>
      <c r="T13" s="14"/>
      <c r="V13" s="15"/>
      <c r="W13" s="16"/>
      <c r="X13" s="17"/>
      <c r="Y13" s="10"/>
      <c r="Z13" s="34"/>
    </row>
    <row r="14" spans="1:27">
      <c r="Q14" s="30"/>
      <c r="R14" s="26"/>
      <c r="S14" s="14"/>
      <c r="T14" s="14"/>
      <c r="V14" s="15"/>
      <c r="W14" s="16"/>
      <c r="X14" s="17"/>
      <c r="Y14" s="10"/>
      <c r="Z14" s="34"/>
    </row>
    <row r="15" spans="1:27">
      <c r="Q15" s="30"/>
      <c r="R15" s="26"/>
      <c r="S15" s="14"/>
      <c r="T15" s="14"/>
      <c r="V15" s="15"/>
      <c r="W15" s="16"/>
      <c r="X15" s="17"/>
      <c r="Y15" s="10"/>
      <c r="Z15" s="34"/>
    </row>
    <row r="16" spans="1:27">
      <c r="Q16" s="30"/>
      <c r="R16" s="26"/>
      <c r="S16" s="14"/>
      <c r="T16" s="14"/>
      <c r="V16" s="15"/>
      <c r="W16" s="16"/>
      <c r="X16" s="17"/>
      <c r="Y16" s="10"/>
      <c r="Z16" s="34"/>
      <c r="AA16" s="1"/>
    </row>
    <row r="17" spans="17:27">
      <c r="Q17" s="30"/>
      <c r="R17" s="26"/>
      <c r="S17" s="14"/>
      <c r="T17" s="14"/>
      <c r="V17" s="15"/>
      <c r="W17" s="16"/>
      <c r="X17" s="17"/>
      <c r="Y17" s="10"/>
      <c r="Z17" s="34"/>
      <c r="AA17" s="1"/>
    </row>
    <row r="18" spans="17:27">
      <c r="Q18" s="30"/>
      <c r="R18" s="26"/>
      <c r="S18" s="14"/>
      <c r="T18" s="14"/>
      <c r="V18" s="15"/>
      <c r="W18" s="16"/>
      <c r="X18" s="17"/>
      <c r="Y18" s="10"/>
      <c r="Z18" s="34"/>
      <c r="AA18" s="1"/>
    </row>
    <row r="19" spans="17:27">
      <c r="Q19" s="30"/>
      <c r="R19" s="26"/>
      <c r="S19" s="14"/>
      <c r="T19" s="14"/>
      <c r="V19" s="15"/>
      <c r="W19" s="16"/>
      <c r="X19" s="17"/>
      <c r="Y19" s="10"/>
      <c r="Z19" s="34"/>
    </row>
    <row r="20" spans="17:27">
      <c r="Q20" s="30"/>
      <c r="R20" s="26"/>
      <c r="S20" s="14"/>
      <c r="T20" s="14"/>
      <c r="V20" s="15"/>
      <c r="W20" s="16"/>
      <c r="X20" s="17"/>
      <c r="Y20" s="10"/>
      <c r="Z20" s="34"/>
    </row>
    <row r="21" spans="17:27">
      <c r="Q21" s="30"/>
      <c r="R21" s="26"/>
      <c r="S21" s="14"/>
      <c r="T21" s="14"/>
      <c r="V21" s="15"/>
      <c r="W21" s="16"/>
      <c r="X21" s="17"/>
      <c r="Y21" s="10"/>
      <c r="Z21" s="34"/>
    </row>
    <row r="22" spans="17:27">
      <c r="Q22" s="30"/>
      <c r="R22" s="26"/>
      <c r="S22" s="14"/>
      <c r="T22" s="14"/>
      <c r="V22" s="15"/>
      <c r="W22" s="16"/>
      <c r="X22" s="17"/>
      <c r="Y22" s="10"/>
      <c r="Z22" s="34"/>
    </row>
    <row r="23" spans="17:27">
      <c r="Q23" s="30"/>
      <c r="R23" s="26"/>
      <c r="S23" s="14"/>
      <c r="T23" s="14"/>
      <c r="V23" s="15"/>
      <c r="W23" s="16"/>
      <c r="X23" s="17"/>
      <c r="Y23" s="10"/>
      <c r="Z23" s="34"/>
    </row>
    <row r="24" spans="17:27">
      <c r="Q24" s="30"/>
      <c r="R24" s="26"/>
      <c r="S24" s="14"/>
      <c r="T24" s="14"/>
      <c r="V24" s="15"/>
      <c r="W24" s="16"/>
      <c r="X24" s="17"/>
      <c r="Y24" s="10"/>
      <c r="Z24" s="34"/>
    </row>
    <row r="25" spans="17:27">
      <c r="Q25" s="30"/>
      <c r="R25" s="26"/>
      <c r="S25" s="14"/>
      <c r="T25" s="14"/>
      <c r="V25" s="15"/>
      <c r="W25" s="16"/>
      <c r="X25" s="17"/>
      <c r="Y25" s="10"/>
      <c r="Z25" s="34"/>
    </row>
    <row r="26" spans="17:27">
      <c r="Q26" s="30"/>
      <c r="R26" s="26"/>
      <c r="S26" s="14"/>
      <c r="T26" s="14"/>
      <c r="V26" s="15"/>
      <c r="W26" s="16"/>
      <c r="X26" s="17"/>
      <c r="Y26" s="10"/>
      <c r="Z26" s="34"/>
    </row>
    <row r="27" spans="17:27">
      <c r="Q27" s="30"/>
      <c r="R27" s="26"/>
      <c r="S27" s="14"/>
      <c r="T27" s="14"/>
      <c r="V27" s="15"/>
      <c r="W27" s="16"/>
      <c r="X27" s="17"/>
      <c r="Y27" s="10"/>
      <c r="Z27" s="34"/>
    </row>
    <row r="28" spans="17:27">
      <c r="Q28" s="30"/>
      <c r="R28" s="26"/>
      <c r="S28" s="14"/>
      <c r="T28" s="14"/>
      <c r="V28" s="15"/>
      <c r="W28" s="16"/>
      <c r="X28" s="17"/>
      <c r="Y28" s="10"/>
      <c r="Z28" s="34"/>
    </row>
    <row r="29" spans="17:27">
      <c r="Q29" s="30"/>
      <c r="R29" s="26"/>
      <c r="S29" s="14"/>
      <c r="T29" s="14"/>
      <c r="V29" s="15"/>
      <c r="W29" s="16"/>
      <c r="X29" s="17"/>
      <c r="Y29" s="10"/>
      <c r="Z29" s="34"/>
    </row>
    <row r="30" spans="17:27">
      <c r="Q30" s="30"/>
      <c r="R30" s="26"/>
      <c r="S30" s="14"/>
      <c r="T30" s="14"/>
      <c r="V30" s="15"/>
      <c r="W30" s="16"/>
      <c r="X30" s="17"/>
      <c r="Y30" s="10"/>
      <c r="Z30" s="34"/>
    </row>
    <row r="31" spans="17:27">
      <c r="Q31" s="30"/>
      <c r="R31" s="26"/>
      <c r="S31" s="14"/>
      <c r="T31" s="14"/>
      <c r="V31" s="15"/>
      <c r="W31" s="16"/>
      <c r="X31" s="17"/>
      <c r="Y31" s="10"/>
      <c r="Z31" s="34"/>
    </row>
    <row r="32" spans="17:27">
      <c r="Q32" s="30"/>
      <c r="R32" s="26"/>
      <c r="S32" s="14"/>
      <c r="T32" s="14"/>
      <c r="V32" s="15"/>
      <c r="W32" s="16"/>
      <c r="X32" s="17"/>
      <c r="Y32" s="10"/>
      <c r="Z32" s="34"/>
    </row>
    <row r="33" spans="17:26">
      <c r="Q33" s="30"/>
      <c r="R33" s="26"/>
      <c r="S33" s="14"/>
      <c r="T33" s="14"/>
      <c r="V33" s="15"/>
      <c r="W33" s="16"/>
      <c r="X33" s="17"/>
      <c r="Y33" s="10"/>
      <c r="Z33" s="34"/>
    </row>
    <row r="34" spans="17:26">
      <c r="Q34" s="30"/>
      <c r="R34" s="26"/>
      <c r="S34" s="14"/>
      <c r="T34" s="14"/>
      <c r="V34" s="15"/>
      <c r="W34" s="16"/>
      <c r="X34" s="17"/>
      <c r="Y34" s="10"/>
      <c r="Z34" s="34"/>
    </row>
    <row r="35" spans="17:26">
      <c r="Q35" s="30"/>
      <c r="R35" s="26"/>
      <c r="S35" s="14"/>
      <c r="T35" s="14"/>
      <c r="V35" s="15"/>
      <c r="W35" s="16"/>
      <c r="X35" s="17"/>
      <c r="Y35" s="10"/>
      <c r="Z35" s="34"/>
    </row>
    <row r="36" spans="17:26">
      <c r="Q36" s="30"/>
      <c r="R36" s="26"/>
      <c r="S36" s="14"/>
      <c r="T36" s="14"/>
      <c r="V36" s="15"/>
      <c r="W36" s="16"/>
      <c r="X36" s="17"/>
      <c r="Y36" s="10"/>
      <c r="Z36" s="34"/>
    </row>
    <row r="37" spans="17:26">
      <c r="Q37" s="30"/>
      <c r="R37" s="26"/>
      <c r="S37" s="14"/>
      <c r="T37" s="14"/>
      <c r="V37" s="15"/>
      <c r="W37" s="16"/>
      <c r="X37" s="17"/>
      <c r="Y37" s="10"/>
      <c r="Z37" s="34"/>
    </row>
    <row r="38" spans="17:26">
      <c r="Q38" s="30"/>
      <c r="R38" s="26"/>
      <c r="S38" s="14"/>
      <c r="T38" s="14"/>
      <c r="V38" s="15"/>
      <c r="W38" s="16"/>
      <c r="X38" s="17"/>
      <c r="Y38" s="10"/>
      <c r="Z38" s="34"/>
    </row>
    <row r="39" spans="17:26">
      <c r="Q39" s="30"/>
      <c r="R39" s="26"/>
      <c r="S39" s="14"/>
      <c r="T39" s="14"/>
      <c r="V39" s="15"/>
      <c r="W39" s="16"/>
      <c r="X39" s="17"/>
      <c r="Y39" s="10"/>
      <c r="Z39" s="34"/>
    </row>
    <row r="40" spans="17:26">
      <c r="Q40" s="30"/>
      <c r="R40" s="26"/>
      <c r="S40" s="14"/>
      <c r="T40" s="14"/>
      <c r="V40" s="15"/>
      <c r="W40" s="16"/>
      <c r="X40" s="17"/>
      <c r="Y40" s="10"/>
      <c r="Z40" s="34"/>
    </row>
    <row r="41" spans="17:26">
      <c r="Q41" s="30"/>
      <c r="R41" s="26"/>
      <c r="S41" s="14"/>
      <c r="T41" s="14"/>
      <c r="V41" s="15"/>
      <c r="W41" s="16"/>
      <c r="X41" s="17"/>
      <c r="Y41" s="10"/>
      <c r="Z41" s="34"/>
    </row>
    <row r="42" spans="17:26">
      <c r="Q42" s="30"/>
      <c r="R42" s="26"/>
      <c r="S42" s="14"/>
      <c r="T42" s="14"/>
      <c r="V42" s="15"/>
      <c r="W42" s="16"/>
      <c r="X42" s="17"/>
      <c r="Y42" s="10"/>
      <c r="Z42" s="34"/>
    </row>
    <row r="43" spans="17:26">
      <c r="Q43" s="30"/>
      <c r="R43" s="26"/>
      <c r="S43" s="14"/>
      <c r="T43" s="14"/>
      <c r="V43" s="15"/>
      <c r="W43" s="16"/>
      <c r="X43" s="17"/>
      <c r="Y43" s="10"/>
      <c r="Z43" s="34"/>
    </row>
    <row r="44" spans="17:26">
      <c r="Q44" s="30"/>
      <c r="R44" s="26"/>
      <c r="S44" s="14"/>
      <c r="T44" s="14"/>
      <c r="V44" s="15"/>
      <c r="W44" s="16"/>
      <c r="X44" s="17"/>
      <c r="Y44" s="10"/>
      <c r="Z44" s="34"/>
    </row>
    <row r="45" spans="17:26">
      <c r="Q45" s="30"/>
      <c r="R45" s="26"/>
      <c r="S45" s="14"/>
      <c r="T45" s="14"/>
      <c r="V45" s="15"/>
      <c r="W45" s="16"/>
      <c r="X45" s="17"/>
      <c r="Y45" s="10"/>
      <c r="Z45" s="34"/>
    </row>
    <row r="46" spans="17:26">
      <c r="Q46" s="30"/>
      <c r="R46" s="26"/>
      <c r="S46" s="14"/>
      <c r="T46" s="14"/>
      <c r="V46" s="15"/>
      <c r="W46" s="16"/>
      <c r="X46" s="17"/>
      <c r="Y46" s="10"/>
      <c r="Z46" s="34"/>
    </row>
    <row r="47" spans="17:26">
      <c r="Q47" s="30"/>
      <c r="R47" s="26"/>
      <c r="S47" s="14"/>
      <c r="T47" s="14"/>
      <c r="V47" s="15"/>
      <c r="W47" s="16"/>
      <c r="X47" s="17"/>
      <c r="Y47" s="10"/>
      <c r="Z47" s="34"/>
    </row>
    <row r="48" spans="17:26">
      <c r="Q48" s="30"/>
      <c r="R48" s="26"/>
      <c r="S48" s="14"/>
      <c r="T48" s="14"/>
      <c r="V48" s="15"/>
      <c r="W48" s="16"/>
      <c r="X48" s="17"/>
      <c r="Y48" s="10"/>
      <c r="Z48" s="34"/>
    </row>
    <row r="49" spans="17:26">
      <c r="Q49" s="30"/>
      <c r="R49" s="26"/>
      <c r="S49" s="14"/>
      <c r="T49" s="14"/>
      <c r="V49" s="15"/>
      <c r="W49" s="16"/>
      <c r="X49" s="17"/>
      <c r="Y49" s="10"/>
      <c r="Z49" s="34"/>
    </row>
    <row r="50" spans="17:26">
      <c r="Q50" s="30"/>
      <c r="R50" s="26"/>
      <c r="S50" s="14"/>
      <c r="T50" s="14"/>
      <c r="V50" s="15"/>
      <c r="W50" s="16"/>
      <c r="X50" s="17"/>
      <c r="Y50" s="10"/>
      <c r="Z50" s="34"/>
    </row>
    <row r="51" spans="17:26">
      <c r="Q51" s="30"/>
      <c r="R51" s="26"/>
      <c r="S51" s="14"/>
      <c r="T51" s="14"/>
      <c r="V51" s="15"/>
      <c r="W51" s="16"/>
      <c r="X51" s="17"/>
      <c r="Y51" s="10"/>
      <c r="Z51" s="34"/>
    </row>
    <row r="52" spans="17:26">
      <c r="Q52" s="30"/>
      <c r="R52" s="26"/>
      <c r="S52" s="14"/>
      <c r="T52" s="14"/>
      <c r="V52" s="15"/>
      <c r="W52" s="16"/>
      <c r="X52" s="17"/>
      <c r="Y52" s="10"/>
      <c r="Z52" s="34"/>
    </row>
    <row r="53" spans="17:26">
      <c r="Q53" s="30"/>
      <c r="R53" s="26"/>
      <c r="S53" s="14"/>
      <c r="T53" s="14"/>
      <c r="V53" s="15"/>
      <c r="W53" s="16"/>
      <c r="X53" s="17"/>
      <c r="Y53" s="10"/>
      <c r="Z53" s="34"/>
    </row>
    <row r="54" spans="17:26">
      <c r="Q54" s="30"/>
      <c r="R54" s="26"/>
      <c r="S54" s="14"/>
      <c r="T54" s="14"/>
      <c r="V54" s="15"/>
      <c r="W54" s="16"/>
      <c r="X54" s="17"/>
      <c r="Y54" s="10"/>
      <c r="Z54" s="34"/>
    </row>
    <row r="55" spans="17:26">
      <c r="Q55" s="30"/>
      <c r="R55" s="26"/>
      <c r="S55" s="14"/>
      <c r="T55" s="14"/>
      <c r="V55" s="15"/>
      <c r="W55" s="16"/>
      <c r="X55" s="17"/>
      <c r="Y55" s="10"/>
      <c r="Z55" s="34"/>
    </row>
    <row r="56" spans="17:26">
      <c r="Q56" s="30"/>
      <c r="R56" s="26"/>
      <c r="S56" s="14"/>
      <c r="T56" s="14"/>
      <c r="V56" s="15"/>
      <c r="W56" s="16"/>
      <c r="X56" s="17"/>
      <c r="Y56" s="10"/>
      <c r="Z56" s="34"/>
    </row>
    <row r="57" spans="17:26">
      <c r="Q57" s="30"/>
      <c r="R57" s="26"/>
      <c r="S57" s="14"/>
      <c r="T57" s="14"/>
      <c r="V57" s="15"/>
      <c r="W57" s="16"/>
      <c r="X57" s="17"/>
      <c r="Y57" s="10"/>
      <c r="Z57" s="34"/>
    </row>
    <row r="58" spans="17:26">
      <c r="Q58" s="30"/>
      <c r="R58" s="26"/>
      <c r="S58" s="14"/>
      <c r="T58" s="14"/>
      <c r="V58" s="15"/>
      <c r="W58" s="16"/>
      <c r="X58" s="17"/>
      <c r="Y58" s="10"/>
      <c r="Z58" s="34"/>
    </row>
    <row r="59" spans="17:26">
      <c r="Q59" s="30"/>
      <c r="R59" s="26"/>
      <c r="S59" s="14"/>
      <c r="T59" s="14"/>
      <c r="V59" s="15"/>
      <c r="W59" s="16"/>
      <c r="X59" s="17"/>
      <c r="Y59" s="10"/>
      <c r="Z59" s="34"/>
    </row>
    <row r="60" spans="17:26">
      <c r="Q60" s="30"/>
      <c r="R60" s="26"/>
      <c r="S60" s="14"/>
      <c r="T60" s="14"/>
      <c r="V60" s="15"/>
      <c r="W60" s="16"/>
      <c r="X60" s="17"/>
      <c r="Y60" s="10"/>
      <c r="Z60" s="34"/>
    </row>
    <row r="61" spans="17:26">
      <c r="Q61" s="30"/>
      <c r="R61" s="26"/>
      <c r="S61" s="14"/>
      <c r="T61" s="14"/>
      <c r="V61" s="15"/>
      <c r="W61" s="16"/>
      <c r="X61" s="17"/>
      <c r="Y61" s="10"/>
      <c r="Z61" s="34"/>
    </row>
    <row r="62" spans="17:26">
      <c r="Q62" s="30"/>
      <c r="R62" s="26"/>
      <c r="S62" s="14"/>
      <c r="T62" s="14"/>
      <c r="V62" s="15"/>
      <c r="W62" s="16"/>
      <c r="X62" s="17"/>
      <c r="Y62" s="10"/>
      <c r="Z62" s="34"/>
    </row>
    <row r="63" spans="17:26">
      <c r="Q63" s="30"/>
      <c r="R63" s="26"/>
      <c r="S63" s="14"/>
      <c r="T63" s="14"/>
      <c r="V63" s="15"/>
      <c r="W63" s="16"/>
      <c r="X63" s="17"/>
      <c r="Y63" s="10"/>
      <c r="Z63" s="34"/>
    </row>
    <row r="64" spans="17:26">
      <c r="Q64" s="30"/>
      <c r="R64" s="26"/>
      <c r="S64" s="14"/>
      <c r="T64" s="14"/>
      <c r="V64" s="15"/>
      <c r="W64" s="16"/>
      <c r="X64" s="17"/>
      <c r="Y64" s="10"/>
      <c r="Z64" s="34"/>
    </row>
    <row r="65" spans="17:26">
      <c r="Q65" s="30"/>
      <c r="R65" s="26"/>
      <c r="S65" s="14"/>
      <c r="T65" s="14"/>
      <c r="V65" s="15"/>
      <c r="W65" s="16"/>
      <c r="X65" s="17"/>
      <c r="Y65" s="10"/>
      <c r="Z65" s="34"/>
    </row>
    <row r="66" spans="17:26">
      <c r="Q66" s="30"/>
      <c r="R66" s="26"/>
      <c r="S66" s="14"/>
      <c r="T66" s="14"/>
      <c r="V66" s="15"/>
      <c r="W66" s="16"/>
      <c r="X66" s="17"/>
      <c r="Y66" s="10"/>
      <c r="Z66" s="34"/>
    </row>
    <row r="67" spans="17:26">
      <c r="Q67" s="30"/>
      <c r="R67" s="26"/>
      <c r="S67" s="14"/>
      <c r="T67" s="14"/>
      <c r="V67" s="15"/>
      <c r="W67" s="16"/>
      <c r="X67" s="17"/>
      <c r="Y67" s="10"/>
      <c r="Z67" s="34"/>
    </row>
    <row r="68" spans="17:26">
      <c r="Q68" s="30"/>
      <c r="R68" s="26"/>
      <c r="S68" s="14"/>
      <c r="T68" s="14"/>
      <c r="V68" s="15"/>
      <c r="W68" s="16"/>
      <c r="X68" s="17"/>
      <c r="Y68" s="10"/>
      <c r="Z68" s="34"/>
    </row>
    <row r="69" spans="17:26">
      <c r="Q69" s="30"/>
      <c r="R69" s="26"/>
      <c r="S69" s="14"/>
      <c r="T69" s="14"/>
      <c r="V69" s="15"/>
      <c r="W69" s="16"/>
      <c r="X69" s="17"/>
      <c r="Y69" s="10"/>
      <c r="Z69" s="34"/>
    </row>
    <row r="70" spans="17:26">
      <c r="Q70" s="30"/>
      <c r="R70" s="26"/>
      <c r="S70" s="14"/>
      <c r="T70" s="14"/>
      <c r="V70" s="15"/>
      <c r="W70" s="16"/>
      <c r="X70" s="17"/>
      <c r="Y70" s="10"/>
      <c r="Z70" s="34"/>
    </row>
    <row r="71" spans="17:26">
      <c r="Q71" s="30"/>
      <c r="R71" s="26"/>
      <c r="S71" s="14"/>
      <c r="T71" s="14"/>
      <c r="V71" s="15"/>
      <c r="W71" s="16"/>
      <c r="X71" s="17"/>
      <c r="Y71" s="10"/>
      <c r="Z71" s="34"/>
    </row>
    <row r="72" spans="17:26">
      <c r="Q72" s="30"/>
      <c r="R72" s="26"/>
      <c r="S72" s="14"/>
      <c r="T72" s="14"/>
      <c r="V72" s="15"/>
      <c r="W72" s="16"/>
      <c r="X72" s="17"/>
      <c r="Y72" s="10"/>
      <c r="Z72" s="34"/>
    </row>
    <row r="73" spans="17:26">
      <c r="Q73" s="30"/>
      <c r="R73" s="26"/>
      <c r="S73" s="14"/>
      <c r="T73" s="14"/>
      <c r="V73" s="15"/>
      <c r="W73" s="16"/>
      <c r="X73" s="17"/>
      <c r="Y73" s="10"/>
      <c r="Z73" s="34"/>
    </row>
    <row r="74" spans="17:26">
      <c r="Q74" s="30"/>
      <c r="R74" s="26"/>
      <c r="S74" s="14"/>
      <c r="T74" s="14"/>
      <c r="V74" s="15"/>
      <c r="W74" s="16"/>
      <c r="X74" s="17"/>
      <c r="Y74" s="10"/>
      <c r="Z74" s="34"/>
    </row>
    <row r="75" spans="17:26">
      <c r="Q75" s="30"/>
      <c r="R75" s="26"/>
      <c r="S75" s="14"/>
      <c r="T75" s="14"/>
      <c r="V75" s="15"/>
      <c r="W75" s="16"/>
      <c r="X75" s="17"/>
      <c r="Y75" s="10"/>
      <c r="Z75" s="34"/>
    </row>
    <row r="76" spans="17:26">
      <c r="Q76" s="30"/>
      <c r="R76" s="26"/>
      <c r="S76" s="14"/>
      <c r="T76" s="14"/>
      <c r="V76" s="15"/>
      <c r="W76" s="16"/>
      <c r="X76" s="17"/>
      <c r="Y76" s="10"/>
      <c r="Z76" s="34"/>
    </row>
    <row r="77" spans="17:26">
      <c r="Q77" s="30"/>
      <c r="R77" s="26"/>
      <c r="S77" s="14"/>
      <c r="T77" s="14"/>
      <c r="V77" s="15"/>
      <c r="W77" s="16"/>
      <c r="X77" s="17"/>
      <c r="Y77" s="10"/>
      <c r="Z77" s="34"/>
    </row>
    <row r="78" spans="17:26">
      <c r="Q78" s="30"/>
      <c r="R78" s="26"/>
      <c r="S78" s="14"/>
      <c r="T78" s="14"/>
      <c r="V78" s="15"/>
      <c r="W78" s="16"/>
      <c r="X78" s="17"/>
      <c r="Y78" s="10"/>
      <c r="Z78" s="34"/>
    </row>
    <row r="79" spans="17:26">
      <c r="Q79" s="30"/>
      <c r="R79" s="26"/>
      <c r="S79" s="14"/>
      <c r="T79" s="14"/>
      <c r="V79" s="15"/>
      <c r="W79" s="16"/>
      <c r="X79" s="17"/>
      <c r="Y79" s="10"/>
      <c r="Z79" s="34"/>
    </row>
    <row r="80" spans="17:26">
      <c r="Q80" s="30"/>
      <c r="R80" s="26"/>
      <c r="S80" s="14"/>
      <c r="T80" s="14"/>
      <c r="V80" s="15"/>
      <c r="W80" s="16"/>
      <c r="X80" s="17"/>
      <c r="Y80" s="10"/>
      <c r="Z80" s="34"/>
    </row>
    <row r="81" spans="17:26">
      <c r="Q81" s="30"/>
      <c r="R81" s="26"/>
      <c r="S81" s="14"/>
      <c r="T81" s="14"/>
      <c r="V81" s="15"/>
      <c r="W81" s="16"/>
      <c r="X81" s="17"/>
      <c r="Y81" s="10"/>
      <c r="Z81" s="34"/>
    </row>
    <row r="82" spans="17:26">
      <c r="Q82" s="30"/>
      <c r="R82" s="26"/>
      <c r="S82" s="14"/>
      <c r="T82" s="14"/>
      <c r="V82" s="15"/>
      <c r="W82" s="16"/>
      <c r="X82" s="17"/>
      <c r="Y82" s="10"/>
      <c r="Z82" s="34"/>
    </row>
    <row r="83" spans="17:26">
      <c r="Q83" s="30"/>
      <c r="R83" s="26"/>
      <c r="S83" s="14"/>
      <c r="T83" s="14"/>
      <c r="V83" s="15"/>
      <c r="W83" s="16"/>
      <c r="X83" s="17"/>
      <c r="Y83" s="10"/>
      <c r="Z83" s="34"/>
    </row>
    <row r="84" spans="17:26">
      <c r="Q84" s="30"/>
      <c r="R84" s="26"/>
      <c r="S84" s="14"/>
      <c r="T84" s="14"/>
      <c r="V84" s="15"/>
      <c r="W84" s="16"/>
      <c r="X84" s="17"/>
      <c r="Y84" s="10"/>
      <c r="Z84" s="34"/>
    </row>
    <row r="85" spans="17:26">
      <c r="Q85" s="30"/>
      <c r="R85" s="26"/>
      <c r="S85" s="14"/>
      <c r="T85" s="14"/>
      <c r="V85" s="15"/>
      <c r="W85" s="16"/>
      <c r="X85" s="17"/>
      <c r="Y85" s="10"/>
      <c r="Z85" s="34"/>
    </row>
    <row r="86" spans="17:26">
      <c r="Q86" s="30"/>
      <c r="R86" s="26"/>
      <c r="S86" s="14"/>
      <c r="T86" s="14"/>
      <c r="V86" s="15"/>
      <c r="W86" s="16"/>
      <c r="X86" s="17"/>
      <c r="Y86" s="10"/>
      <c r="Z86" s="34"/>
    </row>
    <row r="87" spans="17:26">
      <c r="Q87" s="30"/>
      <c r="R87" s="26"/>
      <c r="S87" s="14"/>
      <c r="T87" s="14"/>
      <c r="V87" s="15"/>
      <c r="W87" s="16"/>
      <c r="X87" s="17"/>
      <c r="Y87" s="10"/>
      <c r="Z87" s="34"/>
    </row>
    <row r="88" spans="17:26">
      <c r="Q88" s="30"/>
      <c r="R88" s="26"/>
      <c r="S88" s="14"/>
      <c r="T88" s="14"/>
      <c r="V88" s="15"/>
      <c r="W88" s="16"/>
      <c r="X88" s="17"/>
      <c r="Y88" s="10"/>
      <c r="Z88" s="34"/>
    </row>
    <row r="89" spans="17:26">
      <c r="Q89" s="30"/>
      <c r="R89" s="26"/>
      <c r="S89" s="14"/>
      <c r="T89" s="14"/>
      <c r="V89" s="15"/>
      <c r="W89" s="16"/>
      <c r="X89" s="17"/>
      <c r="Y89" s="10"/>
      <c r="Z89" s="34"/>
    </row>
    <row r="90" spans="17:26">
      <c r="Q90" s="30"/>
      <c r="R90" s="26"/>
      <c r="S90" s="14"/>
      <c r="T90" s="14"/>
      <c r="V90" s="15"/>
      <c r="W90" s="16"/>
      <c r="X90" s="17"/>
      <c r="Y90" s="10"/>
      <c r="Z90" s="34"/>
    </row>
    <row r="91" spans="17:26">
      <c r="Q91" s="30"/>
      <c r="R91" s="26"/>
      <c r="S91" s="14"/>
      <c r="T91" s="14"/>
      <c r="V91" s="15"/>
      <c r="W91" s="16"/>
      <c r="X91" s="17"/>
      <c r="Y91" s="10"/>
      <c r="Z91" s="34"/>
    </row>
    <row r="92" spans="17:26">
      <c r="Q92" s="30"/>
      <c r="R92" s="26"/>
      <c r="S92" s="14"/>
      <c r="T92" s="14"/>
      <c r="V92" s="15"/>
      <c r="W92" s="16"/>
      <c r="X92" s="17"/>
      <c r="Y92" s="10"/>
      <c r="Z92" s="34"/>
    </row>
    <row r="93" spans="17:26">
      <c r="Q93" s="30"/>
      <c r="R93" s="26"/>
      <c r="S93" s="14"/>
      <c r="T93" s="14"/>
      <c r="V93" s="15"/>
      <c r="W93" s="16"/>
      <c r="X93" s="17"/>
      <c r="Y93" s="10"/>
      <c r="Z93" s="34"/>
    </row>
    <row r="94" spans="17:26">
      <c r="Q94" s="30"/>
      <c r="R94" s="26"/>
      <c r="S94" s="14"/>
      <c r="T94" s="14"/>
      <c r="V94" s="15"/>
      <c r="W94" s="16"/>
      <c r="X94" s="17"/>
      <c r="Y94" s="10"/>
      <c r="Z94" s="34"/>
    </row>
    <row r="95" spans="17:26">
      <c r="Q95" s="30"/>
      <c r="R95" s="26"/>
      <c r="S95" s="14"/>
      <c r="T95" s="14"/>
      <c r="V95" s="15"/>
      <c r="W95" s="16"/>
      <c r="X95" s="17"/>
      <c r="Y95" s="10"/>
      <c r="Z95" s="34"/>
    </row>
    <row r="96" spans="17:26">
      <c r="Q96" s="30"/>
      <c r="R96" s="26"/>
      <c r="S96" s="14"/>
      <c r="T96" s="14"/>
      <c r="V96" s="15"/>
      <c r="W96" s="16"/>
      <c r="X96" s="17"/>
      <c r="Y96" s="10"/>
      <c r="Z96" s="34"/>
    </row>
    <row r="97" spans="17:26">
      <c r="Q97" s="30"/>
      <c r="R97" s="26"/>
      <c r="S97" s="14"/>
      <c r="T97" s="14"/>
      <c r="V97" s="15"/>
      <c r="W97" s="16"/>
      <c r="X97" s="17"/>
      <c r="Y97" s="10"/>
      <c r="Z97" s="34"/>
    </row>
    <row r="98" spans="17:26">
      <c r="Q98" s="30"/>
      <c r="R98" s="26"/>
      <c r="S98" s="14"/>
      <c r="T98" s="14"/>
      <c r="V98" s="15"/>
      <c r="W98" s="16"/>
      <c r="X98" s="17"/>
      <c r="Y98" s="10"/>
      <c r="Z98" s="34"/>
    </row>
    <row r="99" spans="17:26">
      <c r="Q99" s="30"/>
      <c r="R99" s="26"/>
      <c r="S99" s="14"/>
      <c r="T99" s="14"/>
      <c r="V99" s="15"/>
      <c r="W99" s="16"/>
      <c r="X99" s="17"/>
      <c r="Y99" s="10"/>
      <c r="Z99" s="34"/>
    </row>
    <row r="100" spans="17:26">
      <c r="Q100" s="30"/>
      <c r="R100" s="26"/>
      <c r="S100" s="14"/>
      <c r="T100" s="14"/>
      <c r="V100" s="15"/>
      <c r="W100" s="16"/>
      <c r="X100" s="17"/>
      <c r="Y100" s="10"/>
      <c r="Z100" s="34"/>
    </row>
    <row r="101" spans="17:26">
      <c r="Q101" s="30"/>
      <c r="R101" s="26"/>
      <c r="S101" s="14"/>
      <c r="T101" s="14"/>
      <c r="V101" s="15"/>
      <c r="W101" s="16"/>
      <c r="X101" s="17"/>
      <c r="Y101" s="10"/>
      <c r="Z101" s="34"/>
    </row>
    <row r="102" spans="17:26">
      <c r="Q102" s="30"/>
      <c r="R102" s="26"/>
      <c r="S102" s="14"/>
      <c r="T102" s="14"/>
      <c r="V102" s="15"/>
      <c r="W102" s="16"/>
      <c r="X102" s="17"/>
      <c r="Y102" s="10"/>
      <c r="Z102" s="34"/>
    </row>
    <row r="103" spans="17:26">
      <c r="Q103" s="30"/>
      <c r="R103" s="26"/>
      <c r="S103" s="14"/>
      <c r="T103" s="14"/>
      <c r="V103" s="15"/>
      <c r="W103" s="16"/>
      <c r="X103" s="17"/>
      <c r="Y103" s="10"/>
      <c r="Z103" s="34"/>
    </row>
    <row r="104" spans="17:26">
      <c r="Q104" s="30"/>
      <c r="R104" s="26"/>
      <c r="S104" s="14"/>
      <c r="T104" s="14"/>
      <c r="V104" s="15"/>
      <c r="W104" s="16"/>
      <c r="X104" s="17"/>
      <c r="Y104" s="10"/>
      <c r="Z104" s="34"/>
    </row>
    <row r="105" spans="17:26">
      <c r="Q105" s="30"/>
      <c r="R105" s="26"/>
      <c r="S105" s="14"/>
      <c r="T105" s="14"/>
      <c r="V105" s="15"/>
      <c r="W105" s="16"/>
      <c r="X105" s="17"/>
      <c r="Y105" s="10"/>
      <c r="Z105" s="34"/>
    </row>
    <row r="106" spans="17:26">
      <c r="Q106" s="30"/>
      <c r="R106" s="26"/>
      <c r="S106" s="14"/>
      <c r="T106" s="14"/>
      <c r="V106" s="15"/>
      <c r="W106" s="16"/>
      <c r="X106" s="17"/>
      <c r="Y106" s="10"/>
      <c r="Z106" s="34"/>
    </row>
    <row r="107" spans="17:26">
      <c r="Q107" s="30"/>
      <c r="R107" s="26"/>
      <c r="S107" s="14"/>
      <c r="T107" s="14"/>
      <c r="V107" s="15"/>
      <c r="W107" s="16"/>
      <c r="X107" s="17"/>
      <c r="Y107" s="10"/>
      <c r="Z107" s="34"/>
    </row>
    <row r="108" spans="17:26">
      <c r="Q108" s="30"/>
      <c r="R108" s="26"/>
      <c r="S108" s="14"/>
      <c r="T108" s="14"/>
      <c r="V108" s="15"/>
      <c r="W108" s="16"/>
      <c r="X108" s="17"/>
      <c r="Y108" s="10"/>
      <c r="Z108" s="34"/>
    </row>
    <row r="109" spans="17:26">
      <c r="Q109" s="30"/>
      <c r="R109" s="26"/>
      <c r="S109" s="14"/>
      <c r="T109" s="14"/>
      <c r="V109" s="15"/>
      <c r="W109" s="16"/>
      <c r="X109" s="17"/>
      <c r="Y109" s="10"/>
      <c r="Z109" s="34"/>
    </row>
    <row r="110" spans="17:26">
      <c r="Q110" s="30"/>
      <c r="R110" s="26"/>
      <c r="S110" s="14"/>
      <c r="T110" s="14"/>
      <c r="V110" s="15"/>
      <c r="W110" s="16"/>
      <c r="X110" s="17"/>
      <c r="Y110" s="10"/>
      <c r="Z110" s="34"/>
    </row>
    <row r="111" spans="17:26">
      <c r="Q111" s="30"/>
      <c r="R111" s="26"/>
      <c r="S111" s="14"/>
      <c r="T111" s="14"/>
      <c r="V111" s="15"/>
      <c r="W111" s="16"/>
      <c r="X111" s="17"/>
      <c r="Y111" s="10"/>
      <c r="Z111" s="34"/>
    </row>
    <row r="112" spans="17:26">
      <c r="Q112" s="30"/>
      <c r="R112" s="26"/>
      <c r="S112" s="14"/>
      <c r="T112" s="14"/>
      <c r="V112" s="15"/>
      <c r="W112" s="16"/>
      <c r="X112" s="17"/>
      <c r="Y112" s="10"/>
      <c r="Z112" s="34"/>
    </row>
    <row r="113" spans="17:26">
      <c r="Q113" s="30"/>
      <c r="R113" s="26"/>
      <c r="S113" s="14"/>
      <c r="T113" s="14"/>
      <c r="V113" s="15"/>
      <c r="W113" s="16"/>
      <c r="X113" s="17"/>
      <c r="Y113" s="10"/>
      <c r="Z113" s="34"/>
    </row>
    <row r="114" spans="17:26">
      <c r="Q114" s="30"/>
      <c r="R114" s="26"/>
      <c r="S114" s="14"/>
      <c r="T114" s="14"/>
      <c r="V114" s="15"/>
      <c r="W114" s="16"/>
      <c r="X114" s="17"/>
      <c r="Y114" s="10"/>
      <c r="Z114" s="34"/>
    </row>
    <row r="115" spans="17:26">
      <c r="Q115" s="30"/>
      <c r="R115" s="26"/>
      <c r="S115" s="14"/>
      <c r="T115" s="14"/>
      <c r="V115" s="15"/>
      <c r="W115" s="16"/>
      <c r="X115" s="17"/>
      <c r="Y115" s="10"/>
      <c r="Z115" s="34"/>
    </row>
    <row r="116" spans="17:26">
      <c r="Q116" s="30"/>
      <c r="R116" s="26"/>
      <c r="S116" s="14"/>
      <c r="T116" s="14"/>
      <c r="V116" s="15"/>
      <c r="W116" s="16"/>
      <c r="X116" s="17"/>
      <c r="Y116" s="10"/>
      <c r="Z116" s="34"/>
    </row>
    <row r="117" spans="17:26">
      <c r="Q117" s="30"/>
      <c r="R117" s="26"/>
      <c r="S117" s="14"/>
      <c r="T117" s="14"/>
      <c r="V117" s="15"/>
      <c r="W117" s="16"/>
      <c r="X117" s="17"/>
      <c r="Y117" s="10"/>
      <c r="Z117" s="34"/>
    </row>
    <row r="118" spans="17:26">
      <c r="Q118" s="30"/>
      <c r="R118" s="26"/>
      <c r="S118" s="14"/>
      <c r="T118" s="14"/>
      <c r="V118" s="15"/>
      <c r="W118" s="16"/>
      <c r="X118" s="17"/>
      <c r="Y118" s="10"/>
      <c r="Z118" s="34"/>
    </row>
    <row r="119" spans="17:26">
      <c r="Q119" s="30"/>
      <c r="R119" s="26"/>
      <c r="S119" s="14"/>
      <c r="T119" s="14"/>
      <c r="V119" s="15"/>
      <c r="W119" s="16"/>
      <c r="X119" s="17"/>
      <c r="Y119" s="10"/>
      <c r="Z119" s="34"/>
    </row>
    <row r="120" spans="17:26">
      <c r="Q120" s="30"/>
      <c r="R120" s="26"/>
      <c r="S120" s="14"/>
      <c r="T120" s="14"/>
      <c r="V120" s="15"/>
      <c r="W120" s="16"/>
      <c r="X120" s="17"/>
      <c r="Y120" s="10"/>
      <c r="Z120" s="34"/>
    </row>
    <row r="121" spans="17:26">
      <c r="Q121" s="30"/>
      <c r="R121" s="26"/>
      <c r="S121" s="14"/>
      <c r="T121" s="14"/>
      <c r="V121" s="15"/>
      <c r="W121" s="16"/>
      <c r="X121" s="17"/>
      <c r="Y121" s="10"/>
      <c r="Z121" s="34"/>
    </row>
    <row r="122" spans="17:26">
      <c r="Q122" s="30"/>
      <c r="R122" s="26"/>
      <c r="S122" s="14"/>
      <c r="T122" s="14"/>
      <c r="V122" s="15"/>
      <c r="W122" s="16"/>
      <c r="X122" s="17"/>
      <c r="Y122" s="10"/>
      <c r="Z122" s="34"/>
    </row>
    <row r="123" spans="17:26">
      <c r="Q123" s="30"/>
      <c r="R123" s="26"/>
      <c r="S123" s="14"/>
      <c r="T123" s="14"/>
      <c r="V123" s="15"/>
      <c r="W123" s="16"/>
      <c r="X123" s="17"/>
      <c r="Y123" s="10"/>
      <c r="Z123" s="34"/>
    </row>
    <row r="124" spans="17:26">
      <c r="Q124" s="30"/>
      <c r="R124" s="26"/>
      <c r="S124" s="14"/>
      <c r="T124" s="14"/>
      <c r="V124" s="15"/>
      <c r="W124" s="16"/>
      <c r="X124" s="17"/>
      <c r="Y124" s="10"/>
      <c r="Z124" s="34"/>
    </row>
    <row r="125" spans="17:26">
      <c r="Q125" s="30"/>
      <c r="R125" s="26"/>
      <c r="S125" s="14"/>
      <c r="T125" s="14"/>
      <c r="V125" s="15"/>
      <c r="W125" s="16"/>
      <c r="X125" s="17"/>
      <c r="Y125" s="10"/>
      <c r="Z125" s="34"/>
    </row>
    <row r="126" spans="17:26">
      <c r="Q126" s="30"/>
      <c r="R126" s="26"/>
      <c r="S126" s="14"/>
      <c r="T126" s="14"/>
      <c r="V126" s="15"/>
      <c r="W126" s="16"/>
      <c r="X126" s="17"/>
      <c r="Y126" s="10"/>
      <c r="Z126" s="34"/>
    </row>
    <row r="127" spans="17:26">
      <c r="Q127" s="30"/>
      <c r="R127" s="26"/>
      <c r="S127" s="14"/>
      <c r="T127" s="14"/>
      <c r="V127" s="15"/>
      <c r="W127" s="16"/>
      <c r="X127" s="17"/>
      <c r="Y127" s="10"/>
      <c r="Z127" s="34"/>
    </row>
    <row r="128" spans="17:26">
      <c r="Q128" s="30"/>
      <c r="R128" s="26"/>
      <c r="S128" s="14"/>
      <c r="T128" s="14"/>
      <c r="V128" s="15"/>
      <c r="W128" s="16"/>
      <c r="X128" s="17"/>
      <c r="Y128" s="10"/>
      <c r="Z128" s="34"/>
    </row>
    <row r="129" spans="17:26">
      <c r="Q129" s="30"/>
      <c r="R129" s="26"/>
      <c r="S129" s="14"/>
      <c r="T129" s="14"/>
      <c r="V129" s="15"/>
      <c r="W129" s="16"/>
      <c r="X129" s="17"/>
      <c r="Y129" s="10"/>
      <c r="Z129" s="34"/>
    </row>
    <row r="130" spans="17:26">
      <c r="Q130" s="30"/>
      <c r="R130" s="26"/>
      <c r="S130" s="14"/>
      <c r="T130" s="14"/>
      <c r="V130" s="15"/>
      <c r="W130" s="16"/>
      <c r="X130" s="17"/>
      <c r="Y130" s="10"/>
      <c r="Z130" s="34"/>
    </row>
    <row r="131" spans="17:26">
      <c r="Q131" s="30"/>
      <c r="R131" s="26"/>
      <c r="S131" s="14"/>
      <c r="T131" s="14"/>
      <c r="V131" s="15"/>
      <c r="W131" s="16"/>
      <c r="X131" s="17"/>
      <c r="Y131" s="10"/>
      <c r="Z131" s="34"/>
    </row>
    <row r="132" spans="17:26">
      <c r="Q132" s="30"/>
      <c r="R132" s="26"/>
      <c r="S132" s="14"/>
      <c r="T132" s="14"/>
      <c r="V132" s="15"/>
      <c r="W132" s="16"/>
      <c r="X132" s="17"/>
      <c r="Y132" s="10"/>
      <c r="Z132" s="34"/>
    </row>
    <row r="133" spans="17:26">
      <c r="Q133" s="30"/>
      <c r="R133" s="26"/>
      <c r="S133" s="14"/>
      <c r="T133" s="14"/>
      <c r="V133" s="15"/>
      <c r="W133" s="16"/>
      <c r="X133" s="17"/>
      <c r="Y133" s="10"/>
      <c r="Z133" s="34"/>
    </row>
    <row r="134" spans="17:26">
      <c r="Q134" s="30"/>
      <c r="R134" s="26"/>
      <c r="S134" s="14"/>
      <c r="T134" s="14"/>
      <c r="V134" s="15"/>
      <c r="W134" s="16"/>
      <c r="X134" s="17"/>
      <c r="Y134" s="10"/>
      <c r="Z134" s="34"/>
    </row>
    <row r="135" spans="17:26">
      <c r="Q135" s="30"/>
      <c r="R135" s="26"/>
      <c r="S135" s="14"/>
      <c r="T135" s="14"/>
      <c r="V135" s="15"/>
      <c r="W135" s="16"/>
      <c r="X135" s="17"/>
      <c r="Y135" s="10"/>
      <c r="Z135" s="34"/>
    </row>
    <row r="136" spans="17:26">
      <c r="Q136" s="30"/>
      <c r="R136" s="26"/>
      <c r="S136" s="14"/>
      <c r="T136" s="14"/>
      <c r="V136" s="15"/>
      <c r="W136" s="16"/>
      <c r="X136" s="17"/>
      <c r="Y136" s="34"/>
      <c r="Z136" s="32"/>
    </row>
    <row r="137" spans="17:26">
      <c r="Q137" s="30"/>
      <c r="R137" s="26"/>
      <c r="S137" s="14"/>
      <c r="T137" s="14"/>
      <c r="V137" s="15"/>
      <c r="W137" s="16"/>
      <c r="X137" s="17"/>
      <c r="Y137" s="34"/>
      <c r="Z137" s="35"/>
    </row>
    <row r="138" spans="17:26">
      <c r="Q138" s="30"/>
      <c r="R138" s="26"/>
      <c r="S138" s="14"/>
      <c r="T138" s="14"/>
      <c r="V138" s="15"/>
      <c r="W138" s="16"/>
      <c r="X138" s="17"/>
      <c r="Y138" s="34"/>
      <c r="Z138" s="34"/>
    </row>
    <row r="139" spans="17:26">
      <c r="Q139" s="30"/>
      <c r="R139" s="26"/>
      <c r="S139" s="14"/>
      <c r="T139" s="14"/>
      <c r="V139" s="15"/>
      <c r="W139" s="16"/>
      <c r="X139" s="17"/>
      <c r="Y139" s="34"/>
    </row>
    <row r="140" spans="17:26">
      <c r="Q140" s="30"/>
      <c r="R140" s="26"/>
      <c r="S140" s="14"/>
      <c r="T140" s="14"/>
      <c r="V140" s="15"/>
      <c r="W140" s="16"/>
      <c r="X140" s="17"/>
      <c r="Y140" s="34"/>
    </row>
    <row r="141" spans="17:26">
      <c r="Q141" s="30"/>
      <c r="R141" s="26"/>
      <c r="S141" s="14"/>
      <c r="T141" s="14"/>
      <c r="V141" s="15"/>
      <c r="W141" s="16"/>
      <c r="X141" s="17"/>
      <c r="Y141" s="34"/>
    </row>
    <row r="142" spans="17:26">
      <c r="Q142" s="30"/>
      <c r="R142" s="26"/>
      <c r="S142" s="14"/>
      <c r="T142" s="14"/>
      <c r="V142" s="15"/>
      <c r="W142" s="16"/>
      <c r="X142" s="17"/>
      <c r="Y142" s="34"/>
    </row>
    <row r="143" spans="17:26">
      <c r="Q143" s="30"/>
      <c r="R143" s="26"/>
      <c r="S143" s="14"/>
      <c r="T143" s="14"/>
      <c r="V143" s="15"/>
      <c r="W143" s="16"/>
      <c r="X143" s="17"/>
      <c r="Y143" s="34"/>
    </row>
    <row r="144" spans="17:26">
      <c r="Q144" s="30"/>
      <c r="R144" s="26"/>
      <c r="S144" s="14"/>
      <c r="T144" s="14"/>
      <c r="V144" s="15"/>
      <c r="W144" s="16"/>
      <c r="X144" s="17"/>
      <c r="Y144" s="34"/>
    </row>
    <row r="145" spans="17:26">
      <c r="Q145" s="30"/>
      <c r="R145" s="26"/>
      <c r="S145" s="14"/>
      <c r="T145" s="14"/>
      <c r="V145" s="15"/>
      <c r="W145" s="16"/>
      <c r="X145" s="17"/>
      <c r="Y145" s="34"/>
    </row>
    <row r="146" spans="17:26">
      <c r="Q146" s="30"/>
      <c r="R146" s="26"/>
      <c r="S146" s="14"/>
      <c r="T146" s="14"/>
      <c r="V146" s="15"/>
      <c r="W146" s="16"/>
      <c r="X146" s="17"/>
      <c r="Y146" s="10"/>
    </row>
    <row r="147" spans="17:26">
      <c r="Q147" s="30"/>
      <c r="R147" s="26"/>
      <c r="S147" s="14"/>
      <c r="T147" s="14"/>
      <c r="V147" s="15"/>
      <c r="W147" s="16"/>
      <c r="X147" s="17"/>
      <c r="Y147" s="10"/>
    </row>
    <row r="148" spans="17:26">
      <c r="Q148" s="30"/>
      <c r="R148" s="26"/>
      <c r="S148" s="14"/>
      <c r="T148" s="14"/>
      <c r="V148" s="15"/>
      <c r="W148" s="16"/>
      <c r="X148" s="17"/>
      <c r="Y148" s="10"/>
    </row>
    <row r="149" spans="17:26">
      <c r="Q149" s="30"/>
      <c r="R149" s="26"/>
      <c r="S149" s="14"/>
      <c r="T149" s="14"/>
      <c r="V149" s="15"/>
      <c r="W149" s="16"/>
      <c r="X149" s="17"/>
      <c r="Y149" s="10"/>
    </row>
    <row r="150" spans="17:26">
      <c r="Q150" s="30"/>
      <c r="R150" s="26"/>
      <c r="S150" s="14"/>
      <c r="T150" s="14"/>
      <c r="V150" s="15"/>
      <c r="W150" s="16"/>
      <c r="X150" s="17"/>
      <c r="Y150" s="10"/>
      <c r="Z150" s="33"/>
    </row>
    <row r="151" spans="17:26">
      <c r="Q151" s="30"/>
      <c r="R151" s="26"/>
      <c r="S151" s="14"/>
      <c r="T151" s="14"/>
      <c r="V151" s="15"/>
      <c r="W151" s="16"/>
      <c r="X151" s="17"/>
      <c r="Y151" s="10"/>
    </row>
    <row r="152" spans="17:26">
      <c r="Q152" s="30"/>
      <c r="R152" s="26"/>
      <c r="S152" s="14"/>
      <c r="T152" s="14"/>
      <c r="V152" s="15"/>
      <c r="W152" s="16"/>
      <c r="X152" s="17"/>
      <c r="Y152" s="10"/>
    </row>
    <row r="153" spans="17:26">
      <c r="Q153" s="30"/>
      <c r="R153" s="26"/>
      <c r="S153" s="14"/>
      <c r="T153" s="14"/>
      <c r="V153" s="15"/>
      <c r="W153" s="16"/>
      <c r="X153" s="17"/>
      <c r="Y153" s="10"/>
    </row>
    <row r="154" spans="17:26">
      <c r="Q154" s="30"/>
      <c r="R154" s="26"/>
      <c r="S154" s="14"/>
      <c r="T154" s="14"/>
      <c r="V154" s="15"/>
      <c r="W154" s="16"/>
      <c r="X154" s="17"/>
      <c r="Y154" s="10"/>
    </row>
    <row r="155" spans="17:26">
      <c r="Q155" s="30"/>
      <c r="R155" s="26"/>
      <c r="S155" s="14"/>
      <c r="T155" s="14"/>
      <c r="V155" s="15"/>
      <c r="W155" s="16"/>
      <c r="X155" s="17"/>
      <c r="Y155" s="10"/>
    </row>
    <row r="156" spans="17:26">
      <c r="Q156" s="30"/>
      <c r="R156" s="26"/>
      <c r="S156" s="14"/>
      <c r="T156" s="14"/>
      <c r="V156" s="15"/>
      <c r="W156" s="16"/>
      <c r="X156" s="17"/>
      <c r="Y156" s="10"/>
    </row>
    <row r="157" spans="17:26">
      <c r="Q157" s="30"/>
      <c r="R157" s="26"/>
      <c r="S157" s="14"/>
      <c r="T157" s="14"/>
      <c r="V157" s="15"/>
      <c r="W157" s="16"/>
      <c r="X157" s="17"/>
      <c r="Y157" s="10"/>
    </row>
    <row r="158" spans="17:26">
      <c r="Q158" s="30"/>
      <c r="R158" s="26"/>
      <c r="S158" s="14"/>
      <c r="T158" s="14"/>
      <c r="V158" s="15"/>
      <c r="W158" s="16"/>
      <c r="X158" s="17"/>
      <c r="Y158" s="10"/>
    </row>
    <row r="159" spans="17:26">
      <c r="Q159" s="30"/>
      <c r="R159" s="26"/>
      <c r="S159" s="14"/>
      <c r="T159" s="14"/>
      <c r="V159" s="15"/>
      <c r="W159" s="16"/>
      <c r="X159" s="17"/>
      <c r="Y159" s="10"/>
    </row>
    <row r="160" spans="17:26">
      <c r="Q160" s="30"/>
      <c r="R160" s="26"/>
      <c r="S160" s="14"/>
      <c r="T160" s="14"/>
      <c r="V160" s="15"/>
      <c r="W160" s="16"/>
      <c r="X160" s="17"/>
      <c r="Y160" s="10"/>
    </row>
    <row r="161" spans="17:25">
      <c r="Q161" s="30"/>
      <c r="R161" s="26"/>
      <c r="S161" s="14"/>
      <c r="T161" s="14"/>
      <c r="V161" s="15"/>
      <c r="W161" s="16"/>
      <c r="X161" s="17"/>
      <c r="Y161" s="10"/>
    </row>
    <row r="162" spans="17:25">
      <c r="Q162" s="30"/>
      <c r="R162" s="26"/>
      <c r="S162" s="14"/>
      <c r="T162" s="14"/>
      <c r="V162" s="15"/>
      <c r="W162" s="16"/>
      <c r="X162" s="17"/>
      <c r="Y162" s="10"/>
    </row>
    <row r="163" spans="17:25">
      <c r="Q163" s="30"/>
      <c r="R163" s="26"/>
      <c r="S163" s="14"/>
      <c r="T163" s="14"/>
      <c r="V163" s="15"/>
      <c r="W163" s="16"/>
      <c r="X163" s="17"/>
      <c r="Y163" s="10"/>
    </row>
    <row r="164" spans="17:25">
      <c r="Q164" s="30"/>
      <c r="R164" s="26"/>
      <c r="S164" s="14"/>
      <c r="T164" s="14"/>
      <c r="V164" s="15"/>
      <c r="W164" s="16"/>
      <c r="X164" s="17"/>
      <c r="Y164" s="10"/>
    </row>
    <row r="165" spans="17:25">
      <c r="Q165" s="30"/>
      <c r="R165" s="26"/>
      <c r="S165" s="14"/>
      <c r="T165" s="14"/>
      <c r="V165" s="15"/>
      <c r="W165" s="16"/>
      <c r="X165" s="17"/>
      <c r="Y165" s="10"/>
    </row>
    <row r="166" spans="17:25">
      <c r="Q166" s="30"/>
      <c r="R166" s="26"/>
      <c r="S166" s="14"/>
      <c r="T166" s="14"/>
      <c r="V166" s="15"/>
      <c r="W166" s="16"/>
      <c r="X166" s="17"/>
      <c r="Y166" s="10"/>
    </row>
    <row r="167" spans="17:25">
      <c r="Q167" s="30"/>
      <c r="R167" s="26"/>
      <c r="S167" s="14"/>
      <c r="T167" s="14"/>
      <c r="V167" s="15"/>
      <c r="W167" s="16"/>
      <c r="X167" s="17"/>
      <c r="Y167" s="10"/>
    </row>
    <row r="168" spans="17:25">
      <c r="Q168" s="30"/>
      <c r="R168" s="26"/>
      <c r="S168" s="14"/>
      <c r="T168" s="14"/>
      <c r="V168" s="15"/>
      <c r="W168" s="16"/>
      <c r="X168" s="17"/>
      <c r="Y168" s="34"/>
    </row>
    <row r="169" spans="17:25">
      <c r="Q169" s="30"/>
      <c r="R169" s="26"/>
      <c r="S169" s="14"/>
      <c r="T169" s="14"/>
      <c r="V169" s="15"/>
      <c r="W169" s="16"/>
      <c r="X169" s="17"/>
      <c r="Y169" s="34"/>
    </row>
    <row r="170" spans="17:25">
      <c r="Q170" s="30"/>
      <c r="R170" s="26"/>
      <c r="S170" s="14"/>
      <c r="T170" s="14"/>
      <c r="V170" s="15"/>
      <c r="W170" s="16"/>
      <c r="X170" s="17"/>
    </row>
    <row r="171" spans="17:25">
      <c r="Q171" s="30"/>
      <c r="R171" s="26"/>
      <c r="S171" s="14"/>
      <c r="T171" s="14"/>
      <c r="V171" s="15"/>
      <c r="W171" s="16"/>
      <c r="X171" s="17"/>
    </row>
    <row r="172" spans="17:25">
      <c r="Q172" s="30"/>
      <c r="R172" s="26"/>
      <c r="S172" s="14"/>
      <c r="T172" s="14"/>
      <c r="V172" s="15"/>
      <c r="W172" s="16"/>
      <c r="X172" s="17"/>
    </row>
    <row r="173" spans="17:25">
      <c r="Q173" s="30"/>
      <c r="R173" s="26"/>
      <c r="S173" s="14"/>
      <c r="T173" s="14"/>
      <c r="V173" s="15"/>
      <c r="W173" s="16"/>
      <c r="X173" s="17"/>
    </row>
    <row r="174" spans="17:25">
      <c r="Q174" s="30"/>
      <c r="R174" s="26"/>
      <c r="S174" s="14"/>
      <c r="T174" s="14"/>
      <c r="V174" s="15"/>
      <c r="W174" s="16"/>
      <c r="X174" s="17"/>
    </row>
    <row r="175" spans="17:25">
      <c r="Q175" s="30"/>
      <c r="R175" s="26"/>
      <c r="S175" s="14"/>
      <c r="T175" s="14"/>
      <c r="V175" s="15"/>
      <c r="W175" s="16"/>
      <c r="X175" s="17"/>
    </row>
    <row r="176" spans="17:25">
      <c r="Q176" s="30"/>
      <c r="R176" s="26"/>
      <c r="S176" s="14"/>
      <c r="T176" s="14"/>
      <c r="V176" s="15"/>
      <c r="W176" s="16"/>
      <c r="X176" s="17"/>
    </row>
    <row r="177" spans="17:24">
      <c r="Q177" s="30"/>
      <c r="R177" s="26"/>
      <c r="S177" s="14"/>
      <c r="T177" s="14"/>
      <c r="V177" s="15"/>
      <c r="W177" s="16"/>
      <c r="X177" s="17"/>
    </row>
    <row r="178" spans="17:24">
      <c r="Q178" s="30"/>
      <c r="R178" s="26"/>
      <c r="S178" s="14"/>
      <c r="T178" s="14"/>
      <c r="V178" s="15"/>
      <c r="W178" s="16"/>
      <c r="X178" s="17"/>
    </row>
    <row r="179" spans="17:24">
      <c r="Q179" s="30"/>
      <c r="R179" s="26"/>
      <c r="S179" s="14"/>
      <c r="T179" s="14"/>
      <c r="V179" s="15"/>
      <c r="W179" s="16"/>
      <c r="X179" s="17"/>
    </row>
    <row r="180" spans="17:24">
      <c r="Q180" s="30"/>
      <c r="R180" s="26"/>
      <c r="S180" s="14"/>
      <c r="T180" s="14"/>
      <c r="V180" s="15"/>
      <c r="W180" s="16"/>
      <c r="X180" s="17"/>
    </row>
    <row r="181" spans="17:24">
      <c r="Q181" s="30"/>
      <c r="R181" s="26"/>
      <c r="S181" s="14"/>
      <c r="T181" s="14"/>
      <c r="V181" s="15"/>
      <c r="W181" s="16"/>
      <c r="X181" s="17"/>
    </row>
    <row r="182" spans="17:24">
      <c r="Q182" s="30"/>
      <c r="R182" s="26"/>
      <c r="S182" s="14"/>
      <c r="T182" s="14"/>
      <c r="V182" s="15"/>
      <c r="W182" s="16"/>
      <c r="X182" s="17"/>
    </row>
    <row r="183" spans="17:24">
      <c r="Q183" s="30"/>
      <c r="R183" s="26"/>
      <c r="S183" s="14"/>
      <c r="T183" s="14"/>
      <c r="V183" s="15"/>
      <c r="W183" s="16"/>
      <c r="X183" s="17"/>
    </row>
    <row r="184" spans="17:24">
      <c r="Q184" s="30"/>
      <c r="R184" s="26"/>
      <c r="S184" s="14"/>
      <c r="T184" s="14"/>
      <c r="V184" s="15"/>
      <c r="W184" s="16"/>
      <c r="X184" s="17"/>
    </row>
    <row r="185" spans="17:24">
      <c r="Q185" s="30"/>
      <c r="R185" s="26"/>
      <c r="S185" s="14"/>
      <c r="T185" s="14"/>
      <c r="V185" s="15"/>
      <c r="W185" s="16"/>
      <c r="X185" s="17"/>
    </row>
    <row r="186" spans="17:24">
      <c r="Q186" s="30"/>
      <c r="R186" s="26"/>
      <c r="S186" s="14"/>
      <c r="T186" s="14"/>
      <c r="V186" s="15"/>
      <c r="W186" s="16"/>
      <c r="X186" s="17"/>
    </row>
    <row r="187" spans="17:24">
      <c r="Q187" s="30"/>
      <c r="R187" s="26"/>
      <c r="S187" s="14"/>
      <c r="T187" s="14"/>
      <c r="V187" s="15"/>
      <c r="W187" s="16"/>
      <c r="X187" s="17"/>
    </row>
    <row r="188" spans="17:24">
      <c r="Q188" s="30"/>
      <c r="R188" s="26"/>
      <c r="S188" s="14"/>
      <c r="T188" s="14"/>
      <c r="V188" s="15"/>
      <c r="W188" s="16"/>
      <c r="X188" s="17"/>
    </row>
    <row r="189" spans="17:24">
      <c r="Q189" s="30"/>
      <c r="R189" s="26"/>
      <c r="S189" s="14"/>
      <c r="T189" s="14"/>
      <c r="V189" s="15"/>
      <c r="W189" s="16"/>
      <c r="X189" s="17"/>
    </row>
    <row r="190" spans="17:24">
      <c r="Q190" s="30"/>
      <c r="R190" s="26"/>
      <c r="S190" s="14"/>
      <c r="T190" s="14"/>
      <c r="V190" s="15"/>
      <c r="W190" s="16"/>
      <c r="X190" s="17"/>
    </row>
    <row r="191" spans="17:24">
      <c r="Q191" s="30"/>
      <c r="R191" s="26"/>
      <c r="S191" s="14"/>
      <c r="T191" s="14"/>
      <c r="V191" s="15"/>
      <c r="W191" s="16"/>
      <c r="X191" s="17"/>
    </row>
    <row r="192" spans="17:24">
      <c r="Q192" s="30"/>
      <c r="R192" s="26"/>
      <c r="S192" s="14"/>
      <c r="T192" s="14"/>
      <c r="V192" s="15"/>
      <c r="W192" s="16"/>
      <c r="X192" s="17"/>
    </row>
    <row r="193" spans="17:27">
      <c r="Q193" s="30"/>
      <c r="R193" s="26"/>
      <c r="S193" s="14"/>
      <c r="T193" s="14"/>
      <c r="V193" s="15"/>
      <c r="W193" s="16"/>
      <c r="X193" s="17"/>
    </row>
    <row r="194" spans="17:27">
      <c r="Q194" s="30"/>
      <c r="R194" s="26"/>
      <c r="S194" s="14"/>
      <c r="T194" s="14"/>
      <c r="V194" s="15"/>
      <c r="W194" s="16"/>
      <c r="X194" s="17"/>
    </row>
    <row r="195" spans="17:27">
      <c r="Q195" s="30"/>
      <c r="R195" s="26"/>
      <c r="S195" s="14"/>
      <c r="T195" s="14"/>
      <c r="V195" s="15"/>
      <c r="W195" s="16"/>
      <c r="X195" s="17"/>
    </row>
    <row r="196" spans="17:27">
      <c r="Q196" s="30"/>
      <c r="R196" s="26"/>
      <c r="S196" s="14"/>
      <c r="T196" s="14"/>
      <c r="V196" s="15"/>
      <c r="W196" s="16"/>
      <c r="X196" s="17"/>
    </row>
    <row r="197" spans="17:27">
      <c r="Q197" s="30"/>
      <c r="R197" s="26"/>
      <c r="S197" s="14"/>
      <c r="T197" s="14"/>
      <c r="V197" s="15"/>
      <c r="W197" s="16"/>
      <c r="X197" s="17"/>
    </row>
    <row r="198" spans="17:27">
      <c r="Q198" s="30"/>
      <c r="R198" s="26"/>
      <c r="S198" s="14"/>
      <c r="T198" s="14"/>
      <c r="V198" s="15"/>
      <c r="W198" s="16"/>
      <c r="X198" s="17"/>
    </row>
    <row r="199" spans="17:27">
      <c r="Q199" s="30"/>
      <c r="R199" s="26"/>
      <c r="S199" s="14"/>
      <c r="T199" s="14"/>
      <c r="V199" s="15"/>
      <c r="W199" s="16"/>
      <c r="X199" s="17"/>
    </row>
    <row r="200" spans="17:27">
      <c r="Q200" s="30"/>
      <c r="R200" s="26"/>
      <c r="S200" s="14"/>
      <c r="T200" s="14"/>
      <c r="V200" s="15"/>
      <c r="W200" s="16"/>
      <c r="X200" s="17"/>
    </row>
    <row r="201" spans="17:27">
      <c r="Q201" s="30"/>
      <c r="R201" s="26"/>
      <c r="S201" s="14"/>
      <c r="T201" s="14"/>
      <c r="V201" s="15"/>
      <c r="W201" s="16"/>
      <c r="X201" s="17"/>
    </row>
    <row r="202" spans="17:27">
      <c r="Q202" s="30"/>
      <c r="R202" s="26"/>
      <c r="S202" s="14"/>
      <c r="T202" s="14"/>
      <c r="V202" s="15"/>
      <c r="W202" s="16"/>
      <c r="X202" s="17"/>
    </row>
    <row r="203" spans="17:27">
      <c r="Q203" s="30"/>
      <c r="R203" s="26"/>
      <c r="S203" s="14"/>
      <c r="T203" s="14"/>
      <c r="V203" s="15"/>
      <c r="W203" s="16"/>
      <c r="X203" s="17"/>
    </row>
    <row r="204" spans="17:27">
      <c r="Q204" s="30"/>
      <c r="R204" s="26"/>
      <c r="S204" s="14"/>
      <c r="T204" s="14"/>
      <c r="V204" s="15"/>
      <c r="W204" s="16"/>
      <c r="X204" s="17"/>
    </row>
    <row r="205" spans="17:27">
      <c r="Q205" s="30"/>
      <c r="R205" s="26"/>
      <c r="S205" s="14"/>
      <c r="T205" s="14"/>
      <c r="V205" s="15"/>
      <c r="W205" s="16"/>
      <c r="X205" s="17"/>
      <c r="AA205" s="1"/>
    </row>
    <row r="206" spans="17:27">
      <c r="Q206" s="30"/>
      <c r="R206" s="26"/>
      <c r="S206" s="14"/>
      <c r="T206" s="14"/>
      <c r="V206" s="15"/>
      <c r="W206" s="16"/>
      <c r="X206" s="17"/>
    </row>
    <row r="207" spans="17:27">
      <c r="Q207" s="30"/>
      <c r="R207" s="26"/>
      <c r="S207" s="14"/>
      <c r="T207" s="14"/>
      <c r="V207" s="15"/>
      <c r="W207" s="16"/>
      <c r="X207" s="17"/>
    </row>
    <row r="208" spans="17:27">
      <c r="Q208" s="30"/>
      <c r="R208" s="26"/>
      <c r="S208" s="14"/>
      <c r="T208" s="14"/>
      <c r="V208" s="15"/>
      <c r="W208" s="16"/>
      <c r="X208" s="17"/>
    </row>
    <row r="209" spans="17:26">
      <c r="Q209" s="30"/>
      <c r="R209" s="26"/>
      <c r="S209" s="14"/>
      <c r="T209" s="14"/>
      <c r="V209" s="15"/>
      <c r="W209" s="16"/>
      <c r="X209" s="17"/>
    </row>
    <row r="210" spans="17:26">
      <c r="Q210" s="30"/>
      <c r="R210" s="26"/>
      <c r="S210" s="14"/>
      <c r="T210" s="14"/>
      <c r="V210" s="15"/>
      <c r="W210" s="16"/>
      <c r="X210" s="17"/>
      <c r="Y210" s="10"/>
      <c r="Z210" s="11"/>
    </row>
    <row r="211" spans="17:26">
      <c r="Q211" s="30"/>
      <c r="R211" s="26"/>
      <c r="S211" s="14"/>
      <c r="T211" s="14"/>
      <c r="V211" s="15"/>
      <c r="W211" s="16"/>
      <c r="X211" s="17"/>
    </row>
    <row r="212" spans="17:26">
      <c r="Q212" s="30"/>
      <c r="R212" s="26"/>
      <c r="S212" s="14"/>
      <c r="T212" s="14"/>
      <c r="V212" s="15"/>
      <c r="W212" s="16"/>
      <c r="X212" s="17"/>
    </row>
    <row r="213" spans="17:26">
      <c r="Q213" s="30"/>
      <c r="R213" s="26"/>
      <c r="S213" s="14"/>
      <c r="T213" s="14"/>
      <c r="V213" s="15"/>
      <c r="W213" s="16"/>
      <c r="X213" s="17"/>
    </row>
    <row r="214" spans="17:26">
      <c r="Q214" s="30"/>
      <c r="R214" s="26"/>
      <c r="S214" s="14"/>
      <c r="T214" s="14"/>
      <c r="V214" s="15"/>
      <c r="W214" s="16"/>
      <c r="X214" s="17"/>
    </row>
    <row r="215" spans="17:26">
      <c r="Q215" s="30"/>
      <c r="R215" s="26"/>
      <c r="S215" s="14"/>
      <c r="T215" s="14"/>
      <c r="V215" s="15"/>
      <c r="W215" s="16"/>
      <c r="X215" s="17"/>
    </row>
    <row r="216" spans="17:26">
      <c r="Q216" s="30"/>
      <c r="R216" s="26"/>
      <c r="S216" s="14"/>
      <c r="T216" s="14"/>
      <c r="V216" s="15"/>
      <c r="W216" s="16"/>
      <c r="X216" s="17"/>
    </row>
    <row r="217" spans="17:26">
      <c r="Q217" s="30"/>
      <c r="R217" s="26"/>
      <c r="S217" s="14"/>
      <c r="T217" s="14"/>
      <c r="V217" s="15"/>
      <c r="W217" s="16"/>
      <c r="X217" s="17"/>
    </row>
    <row r="218" spans="17:26">
      <c r="Q218" s="30"/>
      <c r="R218" s="26"/>
      <c r="S218" s="14"/>
      <c r="T218" s="14"/>
      <c r="V218" s="15"/>
      <c r="W218" s="16"/>
      <c r="X218" s="17"/>
    </row>
    <row r="219" spans="17:26">
      <c r="Q219" s="30"/>
      <c r="R219" s="26"/>
      <c r="S219" s="14"/>
      <c r="T219" s="14"/>
      <c r="V219" s="15"/>
      <c r="W219" s="16"/>
      <c r="X219" s="17"/>
    </row>
    <row r="220" spans="17:26">
      <c r="Q220" s="30"/>
      <c r="R220" s="26"/>
      <c r="S220" s="14"/>
      <c r="T220" s="14"/>
      <c r="V220" s="15"/>
      <c r="W220" s="16"/>
      <c r="X220" s="17"/>
    </row>
    <row r="221" spans="17:26">
      <c r="Q221" s="30"/>
      <c r="R221" s="26"/>
      <c r="S221" s="14"/>
      <c r="T221" s="14"/>
      <c r="V221" s="15"/>
      <c r="W221" s="16"/>
      <c r="X221" s="17"/>
    </row>
    <row r="222" spans="17:26">
      <c r="Q222" s="30"/>
      <c r="R222" s="26"/>
      <c r="S222" s="14"/>
      <c r="T222" s="14"/>
      <c r="V222" s="15"/>
      <c r="W222" s="16"/>
      <c r="X222" s="17"/>
    </row>
    <row r="223" spans="17:26">
      <c r="Q223" s="30"/>
      <c r="R223" s="26"/>
      <c r="S223" s="14"/>
      <c r="T223" s="14"/>
      <c r="V223" s="15"/>
      <c r="W223" s="16"/>
      <c r="X223" s="17"/>
    </row>
    <row r="224" spans="17:26">
      <c r="Q224" s="30"/>
      <c r="R224" s="26"/>
      <c r="S224" s="14"/>
      <c r="T224" s="14"/>
      <c r="V224" s="15"/>
      <c r="W224" s="16"/>
      <c r="X224" s="17"/>
    </row>
    <row r="225" spans="17:24">
      <c r="Q225" s="30"/>
      <c r="R225" s="26"/>
      <c r="S225" s="14"/>
      <c r="T225" s="14"/>
      <c r="V225" s="15"/>
      <c r="W225" s="16"/>
      <c r="X225" s="17"/>
    </row>
    <row r="226" spans="17:24">
      <c r="Q226" s="30"/>
      <c r="R226" s="26"/>
      <c r="S226" s="14"/>
      <c r="T226" s="14"/>
      <c r="V226" s="15"/>
      <c r="W226" s="16"/>
      <c r="X226" s="17"/>
    </row>
    <row r="227" spans="17:24">
      <c r="Q227" s="30"/>
      <c r="R227" s="26"/>
      <c r="S227" s="14"/>
      <c r="T227" s="14"/>
      <c r="V227" s="15"/>
      <c r="W227" s="16"/>
      <c r="X227" s="17"/>
    </row>
    <row r="228" spans="17:24">
      <c r="Q228" s="30"/>
      <c r="R228" s="26"/>
      <c r="S228" s="14"/>
      <c r="T228" s="14"/>
      <c r="V228" s="15"/>
      <c r="W228" s="16"/>
      <c r="X228" s="17"/>
    </row>
    <row r="229" spans="17:24">
      <c r="Q229" s="30"/>
      <c r="R229" s="26"/>
      <c r="S229" s="14"/>
      <c r="T229" s="14"/>
      <c r="V229" s="15"/>
      <c r="W229" s="16"/>
      <c r="X229" s="17"/>
    </row>
    <row r="230" spans="17:24">
      <c r="Q230" s="30"/>
      <c r="R230" s="26"/>
      <c r="S230" s="14"/>
      <c r="T230" s="14"/>
      <c r="V230" s="15"/>
      <c r="W230" s="16"/>
      <c r="X230" s="17"/>
    </row>
    <row r="231" spans="17:24">
      <c r="Q231" s="30"/>
      <c r="R231" s="26"/>
      <c r="S231" s="14"/>
      <c r="T231" s="14"/>
      <c r="V231" s="15"/>
      <c r="W231" s="16"/>
      <c r="X231" s="17"/>
    </row>
    <row r="232" spans="17:24">
      <c r="Q232" s="30"/>
      <c r="R232" s="26"/>
      <c r="S232" s="14"/>
      <c r="T232" s="14"/>
      <c r="V232" s="15"/>
      <c r="W232" s="16"/>
      <c r="X232" s="17"/>
    </row>
    <row r="233" spans="17:24">
      <c r="Q233" s="30"/>
      <c r="R233" s="26"/>
      <c r="S233" s="14"/>
      <c r="T233" s="14"/>
      <c r="V233" s="15"/>
      <c r="W233" s="16"/>
      <c r="X233" s="17"/>
    </row>
    <row r="234" spans="17:24">
      <c r="Q234" s="30"/>
      <c r="R234" s="26"/>
      <c r="S234" s="14"/>
      <c r="T234" s="14"/>
      <c r="V234" s="15"/>
      <c r="W234" s="16"/>
      <c r="X234" s="17"/>
    </row>
    <row r="235" spans="17:24">
      <c r="Q235" s="30"/>
      <c r="R235" s="26"/>
      <c r="S235" s="14"/>
      <c r="T235" s="14"/>
      <c r="V235" s="15"/>
      <c r="W235" s="16"/>
      <c r="X235" s="17"/>
    </row>
    <row r="236" spans="17:24">
      <c r="Q236" s="30"/>
      <c r="R236" s="26"/>
      <c r="S236" s="14"/>
      <c r="T236" s="14"/>
      <c r="V236" s="15"/>
      <c r="W236" s="16"/>
      <c r="X236" s="17"/>
    </row>
    <row r="237" spans="17:24">
      <c r="Q237" s="30"/>
      <c r="R237" s="26"/>
      <c r="S237" s="14"/>
      <c r="T237" s="14"/>
      <c r="V237" s="15"/>
      <c r="W237" s="16"/>
      <c r="X237" s="17"/>
    </row>
    <row r="238" spans="17:24">
      <c r="Q238" s="30"/>
      <c r="R238" s="26"/>
      <c r="S238" s="14"/>
      <c r="T238" s="14"/>
      <c r="V238" s="15"/>
      <c r="W238" s="16"/>
      <c r="X238" s="17"/>
    </row>
    <row r="239" spans="17:24">
      <c r="Q239" s="30"/>
      <c r="R239" s="26"/>
      <c r="S239" s="14"/>
      <c r="T239" s="14"/>
      <c r="V239" s="15"/>
      <c r="W239" s="16"/>
      <c r="X239" s="17"/>
    </row>
    <row r="240" spans="17:24">
      <c r="Q240" s="30"/>
      <c r="R240" s="26"/>
      <c r="S240" s="14"/>
      <c r="T240" s="14"/>
      <c r="V240" s="15"/>
      <c r="W240" s="16"/>
      <c r="X240" s="17"/>
    </row>
    <row r="241" spans="17:24">
      <c r="Q241" s="30"/>
      <c r="R241" s="26"/>
      <c r="S241" s="14"/>
      <c r="T241" s="14"/>
      <c r="V241" s="15"/>
      <c r="W241" s="16"/>
      <c r="X241" s="17"/>
    </row>
    <row r="242" spans="17:24">
      <c r="Q242" s="30"/>
      <c r="R242" s="26"/>
      <c r="S242" s="14"/>
      <c r="T242" s="14"/>
      <c r="V242" s="15"/>
      <c r="W242" s="16"/>
      <c r="X242" s="17"/>
    </row>
    <row r="243" spans="17:24">
      <c r="Q243" s="30"/>
      <c r="R243" s="26"/>
      <c r="S243" s="14"/>
      <c r="T243" s="14"/>
      <c r="V243" s="15"/>
      <c r="W243" s="16"/>
      <c r="X243" s="17"/>
    </row>
    <row r="244" spans="17:24">
      <c r="Q244" s="30"/>
      <c r="R244" s="26"/>
      <c r="S244" s="14"/>
      <c r="T244" s="14"/>
      <c r="V244" s="15"/>
      <c r="W244" s="16"/>
      <c r="X244" s="17"/>
    </row>
    <row r="245" spans="17:24">
      <c r="Q245" s="30"/>
      <c r="R245" s="26"/>
      <c r="S245" s="14"/>
      <c r="T245" s="14"/>
      <c r="V245" s="15"/>
      <c r="W245" s="16"/>
      <c r="X245" s="17"/>
    </row>
    <row r="246" spans="17:24">
      <c r="Q246" s="30"/>
      <c r="R246" s="26"/>
      <c r="S246" s="14"/>
      <c r="T246" s="14"/>
      <c r="V246" s="15"/>
      <c r="W246" s="16"/>
      <c r="X246" s="17"/>
    </row>
    <row r="247" spans="17:24">
      <c r="Q247" s="30"/>
      <c r="R247" s="26"/>
      <c r="S247" s="14"/>
      <c r="T247" s="14"/>
      <c r="V247" s="15"/>
      <c r="W247" s="16"/>
      <c r="X247" s="17"/>
    </row>
    <row r="248" spans="17:24">
      <c r="Q248" s="30"/>
      <c r="R248" s="26"/>
      <c r="S248" s="14"/>
      <c r="T248" s="14"/>
      <c r="V248" s="15"/>
      <c r="W248" s="16"/>
      <c r="X248" s="17"/>
    </row>
    <row r="249" spans="17:24">
      <c r="Q249" s="30"/>
      <c r="R249" s="26"/>
      <c r="S249" s="14"/>
      <c r="T249" s="14"/>
      <c r="V249" s="15"/>
      <c r="W249" s="16"/>
      <c r="X249" s="17"/>
    </row>
    <row r="250" spans="17:24">
      <c r="Q250" s="30"/>
      <c r="R250" s="26"/>
      <c r="S250" s="14"/>
      <c r="T250" s="14"/>
      <c r="V250" s="15"/>
      <c r="W250" s="16"/>
      <c r="X250" s="17"/>
    </row>
    <row r="251" spans="17:24">
      <c r="Q251" s="30"/>
      <c r="R251" s="26"/>
      <c r="S251" s="14"/>
      <c r="T251" s="14"/>
      <c r="V251" s="15"/>
      <c r="W251" s="16"/>
      <c r="X251" s="17"/>
    </row>
    <row r="252" spans="17:24">
      <c r="Q252" s="30"/>
      <c r="R252" s="26"/>
      <c r="S252" s="14"/>
      <c r="T252" s="14"/>
      <c r="V252" s="15"/>
      <c r="W252" s="16"/>
      <c r="X252" s="17"/>
    </row>
    <row r="253" spans="17:24">
      <c r="Q253" s="30"/>
      <c r="R253" s="26"/>
      <c r="S253" s="14"/>
      <c r="T253" s="14"/>
      <c r="V253" s="15"/>
      <c r="W253" s="16"/>
      <c r="X253" s="17"/>
    </row>
    <row r="254" spans="17:24">
      <c r="Q254" s="30"/>
      <c r="R254" s="26"/>
      <c r="S254" s="14"/>
      <c r="T254" s="14"/>
      <c r="V254" s="15"/>
      <c r="W254" s="16"/>
      <c r="X254" s="17"/>
    </row>
    <row r="255" spans="17:24">
      <c r="Q255" s="30"/>
      <c r="R255" s="26"/>
      <c r="S255" s="14"/>
      <c r="T255" s="14"/>
      <c r="V255" s="15"/>
      <c r="W255" s="16"/>
      <c r="X255" s="17"/>
    </row>
    <row r="256" spans="17:24">
      <c r="Q256" s="30"/>
      <c r="R256" s="26"/>
      <c r="S256" s="14"/>
      <c r="T256" s="14"/>
      <c r="V256" s="15"/>
      <c r="W256" s="16"/>
      <c r="X256" s="17"/>
    </row>
    <row r="257" spans="17:24">
      <c r="Q257" s="30"/>
      <c r="R257" s="26"/>
      <c r="S257" s="14"/>
      <c r="T257" s="14"/>
      <c r="V257" s="15"/>
      <c r="W257" s="16"/>
      <c r="X257" s="17"/>
    </row>
    <row r="258" spans="17:24">
      <c r="Q258" s="30"/>
      <c r="R258" s="26"/>
      <c r="S258" s="14"/>
      <c r="T258" s="14"/>
      <c r="V258" s="15"/>
      <c r="W258" s="16"/>
      <c r="X258" s="17"/>
    </row>
    <row r="259" spans="17:24">
      <c r="Q259" s="30"/>
      <c r="R259" s="26"/>
      <c r="S259" s="14"/>
      <c r="T259" s="14"/>
      <c r="V259" s="15"/>
      <c r="W259" s="16"/>
      <c r="X259" s="17"/>
    </row>
    <row r="260" spans="17:24">
      <c r="Q260" s="30"/>
      <c r="R260" s="26"/>
      <c r="S260" s="14"/>
      <c r="T260" s="14"/>
      <c r="V260" s="15"/>
      <c r="W260" s="16"/>
      <c r="X260" s="17"/>
    </row>
    <row r="261" spans="17:24">
      <c r="Q261" s="30"/>
      <c r="R261" s="26"/>
      <c r="S261" s="14"/>
      <c r="T261" s="14"/>
      <c r="V261" s="15"/>
      <c r="W261" s="16"/>
      <c r="X261" s="17"/>
    </row>
    <row r="262" spans="17:24">
      <c r="Q262" s="30"/>
      <c r="R262" s="26"/>
      <c r="S262" s="14"/>
      <c r="T262" s="14"/>
      <c r="V262" s="15"/>
      <c r="W262" s="16"/>
      <c r="X262" s="17"/>
    </row>
    <row r="263" spans="17:24">
      <c r="Q263" s="30"/>
      <c r="R263" s="26"/>
      <c r="S263" s="14"/>
      <c r="T263" s="14"/>
      <c r="V263" s="15"/>
      <c r="W263" s="16"/>
      <c r="X263" s="17"/>
    </row>
    <row r="264" spans="17:24">
      <c r="Q264" s="30"/>
      <c r="R264" s="26"/>
      <c r="S264" s="14"/>
      <c r="T264" s="14"/>
      <c r="V264" s="15"/>
      <c r="W264" s="16"/>
      <c r="X264" s="17"/>
    </row>
    <row r="265" spans="17:24">
      <c r="Q265" s="30"/>
      <c r="R265" s="26"/>
      <c r="S265" s="14"/>
      <c r="T265" s="14"/>
      <c r="V265" s="15"/>
      <c r="W265" s="16"/>
      <c r="X265" s="17"/>
    </row>
    <row r="266" spans="17:24">
      <c r="Q266" s="30"/>
      <c r="R266" s="26"/>
      <c r="S266" s="14"/>
      <c r="T266" s="14"/>
      <c r="V266" s="15"/>
      <c r="W266" s="16"/>
      <c r="X266" s="17"/>
    </row>
    <row r="267" spans="17:24">
      <c r="Q267" s="30"/>
      <c r="R267" s="26"/>
      <c r="S267" s="14"/>
      <c r="T267" s="14"/>
      <c r="V267" s="15"/>
      <c r="W267" s="16"/>
      <c r="X267" s="17"/>
    </row>
    <row r="268" spans="17:24">
      <c r="Q268" s="30"/>
      <c r="R268" s="26"/>
      <c r="S268" s="14"/>
      <c r="T268" s="14"/>
      <c r="V268" s="15"/>
      <c r="W268" s="16"/>
      <c r="X268" s="17"/>
    </row>
    <row r="269" spans="17:24">
      <c r="Q269" s="30"/>
      <c r="R269" s="26"/>
      <c r="S269" s="14"/>
      <c r="T269" s="14"/>
      <c r="V269" s="15"/>
      <c r="W269" s="16"/>
      <c r="X269" s="17"/>
    </row>
    <row r="270" spans="17:24">
      <c r="Q270" s="30"/>
      <c r="R270" s="26"/>
      <c r="S270" s="14"/>
      <c r="T270" s="14"/>
      <c r="V270" s="15"/>
      <c r="W270" s="16"/>
      <c r="X270" s="17"/>
    </row>
    <row r="271" spans="17:24">
      <c r="Q271" s="30"/>
      <c r="R271" s="26"/>
      <c r="S271" s="14"/>
      <c r="T271" s="14"/>
      <c r="V271" s="15"/>
      <c r="W271" s="16"/>
      <c r="X271" s="17"/>
    </row>
    <row r="272" spans="17:24">
      <c r="Q272" s="30"/>
      <c r="R272" s="26"/>
      <c r="S272" s="14"/>
      <c r="T272" s="14"/>
      <c r="V272" s="15"/>
      <c r="W272" s="16"/>
      <c r="X272" s="17"/>
    </row>
    <row r="273" spans="17:24">
      <c r="Q273" s="30"/>
      <c r="R273" s="26"/>
      <c r="S273" s="14"/>
      <c r="T273" s="14"/>
      <c r="V273" s="15"/>
      <c r="W273" s="16"/>
      <c r="X273" s="17"/>
    </row>
    <row r="274" spans="17:24">
      <c r="Q274" s="30"/>
      <c r="R274" s="26"/>
      <c r="S274" s="14"/>
      <c r="T274" s="14"/>
      <c r="V274" s="15"/>
      <c r="W274" s="16"/>
      <c r="X274" s="17"/>
    </row>
    <row r="275" spans="17:24">
      <c r="Q275" s="30"/>
      <c r="R275" s="26"/>
      <c r="S275" s="14"/>
      <c r="T275" s="14"/>
      <c r="V275" s="15"/>
      <c r="W275" s="16"/>
      <c r="X275" s="17"/>
    </row>
    <row r="276" spans="17:24">
      <c r="Q276" s="30"/>
      <c r="R276" s="26"/>
      <c r="S276" s="14"/>
      <c r="T276" s="14"/>
      <c r="V276" s="15"/>
      <c r="W276" s="16"/>
      <c r="X276" s="17"/>
    </row>
    <row r="277" spans="17:24">
      <c r="Q277" s="30"/>
      <c r="R277" s="26"/>
      <c r="S277" s="14"/>
      <c r="T277" s="14"/>
      <c r="V277" s="15"/>
      <c r="W277" s="16"/>
      <c r="X277" s="17"/>
    </row>
    <row r="278" spans="17:24">
      <c r="Q278" s="30"/>
      <c r="R278" s="26"/>
      <c r="S278" s="14"/>
      <c r="T278" s="14"/>
      <c r="V278" s="15"/>
      <c r="W278" s="16"/>
      <c r="X278" s="17"/>
    </row>
    <row r="279" spans="17:24">
      <c r="Q279" s="30"/>
      <c r="R279" s="26"/>
      <c r="S279" s="14"/>
      <c r="T279" s="14"/>
      <c r="V279" s="15"/>
      <c r="W279" s="16"/>
      <c r="X279" s="17"/>
    </row>
    <row r="280" spans="17:24">
      <c r="Q280" s="30"/>
      <c r="R280" s="26"/>
      <c r="S280" s="14"/>
      <c r="T280" s="14"/>
      <c r="V280" s="15"/>
      <c r="W280" s="16"/>
      <c r="X280" s="17"/>
    </row>
    <row r="281" spans="17:24">
      <c r="Q281" s="30"/>
      <c r="R281" s="26"/>
      <c r="S281" s="14"/>
      <c r="T281" s="14"/>
      <c r="V281" s="15"/>
      <c r="W281" s="16"/>
      <c r="X281" s="17"/>
    </row>
    <row r="282" spans="17:24">
      <c r="Q282" s="30"/>
      <c r="R282" s="26"/>
      <c r="S282" s="14"/>
      <c r="T282" s="14"/>
      <c r="V282" s="15"/>
      <c r="W282" s="16"/>
      <c r="X282" s="17"/>
    </row>
    <row r="283" spans="17:24">
      <c r="Q283" s="30"/>
      <c r="R283" s="26"/>
      <c r="S283" s="14"/>
      <c r="T283" s="14"/>
      <c r="V283" s="15"/>
      <c r="W283" s="16"/>
      <c r="X283" s="17"/>
    </row>
    <row r="284" spans="17:24">
      <c r="Q284" s="30"/>
      <c r="R284" s="26"/>
      <c r="S284" s="14"/>
      <c r="T284" s="14"/>
      <c r="V284" s="15"/>
      <c r="W284" s="16"/>
      <c r="X284" s="17"/>
    </row>
    <row r="285" spans="17:24">
      <c r="Q285" s="30"/>
      <c r="R285" s="26"/>
      <c r="S285" s="14"/>
      <c r="T285" s="14"/>
      <c r="V285" s="15"/>
      <c r="W285" s="16"/>
      <c r="X285" s="17"/>
    </row>
    <row r="286" spans="17:24">
      <c r="Q286" s="30"/>
      <c r="R286" s="26"/>
      <c r="S286" s="14"/>
      <c r="T286" s="14"/>
      <c r="V286" s="15"/>
      <c r="W286" s="16"/>
      <c r="X286" s="17"/>
    </row>
    <row r="287" spans="17:24">
      <c r="Q287" s="30"/>
      <c r="R287" s="26"/>
      <c r="S287" s="14"/>
      <c r="T287" s="14"/>
      <c r="V287" s="15"/>
      <c r="W287" s="16"/>
      <c r="X287" s="17"/>
    </row>
    <row r="288" spans="17:24">
      <c r="Q288" s="30"/>
      <c r="R288" s="26"/>
      <c r="S288" s="14"/>
      <c r="T288" s="14"/>
      <c r="V288" s="15"/>
      <c r="W288" s="16"/>
      <c r="X288" s="17"/>
    </row>
    <row r="289" spans="17:24">
      <c r="Q289" s="30"/>
      <c r="R289" s="26"/>
      <c r="S289" s="14"/>
      <c r="T289" s="14"/>
      <c r="V289" s="15"/>
      <c r="W289" s="16"/>
      <c r="X289" s="17"/>
    </row>
    <row r="290" spans="17:24">
      <c r="Q290" s="30"/>
      <c r="R290" s="26"/>
      <c r="S290" s="14"/>
      <c r="T290" s="14"/>
      <c r="V290" s="15"/>
      <c r="W290" s="16"/>
      <c r="X290" s="17"/>
    </row>
    <row r="291" spans="17:24">
      <c r="Q291" s="30"/>
      <c r="R291" s="26"/>
      <c r="S291" s="14"/>
      <c r="T291" s="14"/>
      <c r="V291" s="15"/>
      <c r="W291" s="16"/>
      <c r="X291" s="17"/>
    </row>
    <row r="292" spans="17:24">
      <c r="Q292" s="30"/>
      <c r="R292" s="26"/>
      <c r="S292" s="14"/>
      <c r="T292" s="14"/>
      <c r="V292" s="15"/>
      <c r="W292" s="16"/>
      <c r="X292" s="17"/>
    </row>
    <row r="293" spans="17:24">
      <c r="Q293" s="30"/>
      <c r="R293" s="26"/>
      <c r="S293" s="14"/>
      <c r="T293" s="14"/>
      <c r="V293" s="15"/>
      <c r="W293" s="16"/>
      <c r="X293" s="17"/>
    </row>
    <row r="294" spans="17:24">
      <c r="Q294" s="30"/>
      <c r="R294" s="26"/>
      <c r="S294" s="14"/>
      <c r="T294" s="14"/>
      <c r="V294" s="15"/>
      <c r="W294" s="16"/>
      <c r="X294" s="17"/>
    </row>
    <row r="295" spans="17:24">
      <c r="Q295" s="30"/>
      <c r="R295" s="26"/>
      <c r="S295" s="14"/>
      <c r="T295" s="14"/>
      <c r="V295" s="15"/>
      <c r="W295" s="16"/>
      <c r="X295" s="17"/>
    </row>
    <row r="296" spans="17:24">
      <c r="Q296" s="30"/>
      <c r="R296" s="26"/>
      <c r="S296" s="14"/>
      <c r="T296" s="14"/>
      <c r="V296" s="15"/>
      <c r="W296" s="16"/>
      <c r="X296" s="17"/>
    </row>
    <row r="297" spans="17:24">
      <c r="Q297" s="30"/>
      <c r="R297" s="26"/>
      <c r="S297" s="14"/>
      <c r="T297" s="14"/>
      <c r="V297" s="15"/>
      <c r="W297" s="16"/>
      <c r="X297" s="17"/>
    </row>
    <row r="298" spans="17:24">
      <c r="Q298" s="30"/>
      <c r="R298" s="26"/>
      <c r="S298" s="14"/>
      <c r="T298" s="14"/>
      <c r="V298" s="15"/>
      <c r="W298" s="16"/>
      <c r="X298" s="17"/>
    </row>
    <row r="299" spans="17:24">
      <c r="Q299" s="30"/>
      <c r="R299" s="26"/>
      <c r="S299" s="14"/>
      <c r="T299" s="14"/>
      <c r="V299" s="15"/>
      <c r="W299" s="16"/>
      <c r="X299" s="17"/>
    </row>
    <row r="300" spans="17:24">
      <c r="Q300" s="30"/>
      <c r="R300" s="26"/>
      <c r="S300" s="14"/>
      <c r="T300" s="14"/>
      <c r="V300" s="15"/>
      <c r="W300" s="16"/>
      <c r="X300" s="17"/>
    </row>
    <row r="301" spans="17:24">
      <c r="Q301" s="30"/>
      <c r="R301" s="26"/>
      <c r="S301" s="14"/>
      <c r="T301" s="14"/>
      <c r="V301" s="15"/>
      <c r="W301" s="16"/>
      <c r="X301" s="17"/>
    </row>
    <row r="302" spans="17:24">
      <c r="Q302" s="30"/>
      <c r="R302" s="26"/>
      <c r="S302" s="14"/>
      <c r="T302" s="14"/>
      <c r="V302" s="15"/>
      <c r="W302" s="16"/>
      <c r="X302" s="17"/>
    </row>
    <row r="303" spans="17:24">
      <c r="Q303" s="30"/>
      <c r="R303" s="26"/>
      <c r="S303" s="14"/>
      <c r="T303" s="14"/>
      <c r="V303" s="15"/>
      <c r="W303" s="16"/>
      <c r="X303" s="17"/>
    </row>
    <row r="304" spans="17:24">
      <c r="Q304" s="30"/>
      <c r="R304" s="26"/>
      <c r="S304" s="14"/>
      <c r="T304" s="14"/>
      <c r="V304" s="15"/>
      <c r="W304" s="16"/>
      <c r="X304" s="17"/>
    </row>
    <row r="305" spans="17:24">
      <c r="Q305" s="30"/>
      <c r="R305" s="26"/>
      <c r="S305" s="14"/>
      <c r="T305" s="14"/>
      <c r="V305" s="15"/>
      <c r="W305" s="16"/>
      <c r="X305" s="17"/>
    </row>
    <row r="306" spans="17:24">
      <c r="Q306" s="30"/>
      <c r="R306" s="26"/>
      <c r="S306" s="14"/>
      <c r="T306" s="14"/>
      <c r="V306" s="15"/>
      <c r="W306" s="16"/>
      <c r="X306" s="17"/>
    </row>
    <row r="307" spans="17:24">
      <c r="Q307" s="30"/>
      <c r="R307" s="26"/>
      <c r="S307" s="14"/>
      <c r="T307" s="14"/>
      <c r="V307" s="15"/>
      <c r="W307" s="16"/>
      <c r="X307" s="17"/>
    </row>
    <row r="308" spans="17:24">
      <c r="Q308" s="30"/>
      <c r="R308" s="26"/>
      <c r="S308" s="14"/>
      <c r="T308" s="14"/>
      <c r="V308" s="15"/>
      <c r="W308" s="16"/>
      <c r="X308" s="17"/>
    </row>
    <row r="309" spans="17:24">
      <c r="Q309" s="30"/>
      <c r="R309" s="26"/>
      <c r="S309" s="14"/>
      <c r="T309" s="14"/>
      <c r="V309" s="15"/>
      <c r="W309" s="16"/>
      <c r="X309" s="17"/>
    </row>
    <row r="310" spans="17:24">
      <c r="Q310" s="30"/>
      <c r="R310" s="26"/>
      <c r="S310" s="14"/>
      <c r="T310" s="14"/>
      <c r="V310" s="15"/>
      <c r="W310" s="16"/>
      <c r="X310" s="17"/>
    </row>
    <row r="311" spans="17:24">
      <c r="Q311" s="30"/>
      <c r="R311" s="26"/>
      <c r="S311" s="14"/>
      <c r="T311" s="14"/>
      <c r="V311" s="15"/>
      <c r="W311" s="16"/>
      <c r="X311" s="17"/>
    </row>
    <row r="312" spans="17:24">
      <c r="Q312" s="30"/>
      <c r="R312" s="26"/>
      <c r="S312" s="14"/>
      <c r="T312" s="14"/>
      <c r="V312" s="15"/>
      <c r="W312" s="16"/>
      <c r="X312" s="17"/>
    </row>
    <row r="313" spans="17:24">
      <c r="Q313" s="30"/>
      <c r="R313" s="26"/>
      <c r="S313" s="14"/>
      <c r="T313" s="14"/>
      <c r="V313" s="15"/>
      <c r="W313" s="16"/>
      <c r="X313" s="17"/>
    </row>
    <row r="314" spans="17:24">
      <c r="Q314" s="30"/>
      <c r="R314" s="26"/>
      <c r="S314" s="14"/>
      <c r="T314" s="14"/>
      <c r="V314" s="15"/>
      <c r="W314" s="16"/>
      <c r="X314" s="17"/>
    </row>
    <row r="315" spans="17:24">
      <c r="Q315" s="30"/>
      <c r="R315" s="26"/>
      <c r="S315" s="14"/>
      <c r="T315" s="14"/>
      <c r="V315" s="15"/>
      <c r="W315" s="16"/>
      <c r="X315" s="17"/>
    </row>
    <row r="316" spans="17:24">
      <c r="Q316" s="30"/>
      <c r="R316" s="26"/>
      <c r="S316" s="14"/>
      <c r="T316" s="14"/>
      <c r="V316" s="15"/>
      <c r="W316" s="16"/>
      <c r="X316" s="17"/>
    </row>
    <row r="317" spans="17:24">
      <c r="Q317" s="30"/>
      <c r="R317" s="26"/>
      <c r="S317" s="14"/>
      <c r="T317" s="14"/>
      <c r="V317" s="15"/>
      <c r="W317" s="16"/>
      <c r="X317" s="17"/>
    </row>
    <row r="318" spans="17:24">
      <c r="Q318" s="30"/>
      <c r="R318" s="26"/>
      <c r="S318" s="14"/>
      <c r="T318" s="14"/>
      <c r="V318" s="15"/>
      <c r="W318" s="16"/>
      <c r="X318" s="17"/>
    </row>
    <row r="319" spans="17:24">
      <c r="Q319" s="30"/>
      <c r="R319" s="26"/>
      <c r="S319" s="14"/>
      <c r="T319" s="14"/>
      <c r="V319" s="15"/>
      <c r="W319" s="16"/>
      <c r="X319" s="17"/>
    </row>
    <row r="320" spans="17:24">
      <c r="Q320" s="30"/>
      <c r="R320" s="26"/>
      <c r="S320" s="14"/>
      <c r="T320" s="14"/>
      <c r="V320" s="15"/>
      <c r="W320" s="16"/>
      <c r="X320" s="17"/>
    </row>
    <row r="321" spans="17:24">
      <c r="Q321" s="30"/>
      <c r="R321" s="26"/>
      <c r="S321" s="14"/>
      <c r="T321" s="14"/>
      <c r="V321" s="15"/>
      <c r="W321" s="16"/>
      <c r="X321" s="17"/>
    </row>
    <row r="322" spans="17:24">
      <c r="Q322" s="30"/>
      <c r="R322" s="26"/>
      <c r="S322" s="14"/>
      <c r="T322" s="14"/>
      <c r="V322" s="15"/>
      <c r="W322" s="16"/>
      <c r="X322" s="17"/>
    </row>
    <row r="323" spans="17:24">
      <c r="Q323" s="30"/>
      <c r="R323" s="26"/>
      <c r="S323" s="14"/>
      <c r="T323" s="14"/>
      <c r="V323" s="15"/>
      <c r="W323" s="16"/>
      <c r="X323" s="17"/>
    </row>
    <row r="324" spans="17:24">
      <c r="Q324" s="30"/>
      <c r="R324" s="26"/>
      <c r="S324" s="14"/>
      <c r="T324" s="14"/>
      <c r="V324" s="15"/>
      <c r="W324" s="16"/>
      <c r="X324" s="17"/>
    </row>
    <row r="325" spans="17:24">
      <c r="Q325" s="30"/>
      <c r="R325" s="26"/>
      <c r="S325" s="14"/>
      <c r="T325" s="14"/>
      <c r="V325" s="15"/>
      <c r="W325" s="16"/>
      <c r="X325" s="17"/>
    </row>
    <row r="326" spans="17:24">
      <c r="Q326" s="30"/>
      <c r="R326" s="26"/>
      <c r="S326" s="14"/>
      <c r="T326" s="14"/>
      <c r="V326" s="15"/>
      <c r="W326" s="16"/>
      <c r="X326" s="17"/>
    </row>
    <row r="327" spans="17:24">
      <c r="Q327" s="30"/>
      <c r="R327" s="26"/>
      <c r="S327" s="14"/>
      <c r="T327" s="14"/>
      <c r="V327" s="15"/>
      <c r="W327" s="16"/>
      <c r="X327" s="17"/>
    </row>
    <row r="328" spans="17:24">
      <c r="Q328" s="30"/>
      <c r="R328" s="26"/>
      <c r="S328" s="14"/>
      <c r="T328" s="14"/>
      <c r="V328" s="15"/>
      <c r="W328" s="16"/>
      <c r="X328" s="17"/>
    </row>
    <row r="329" spans="17:24">
      <c r="Q329" s="30"/>
      <c r="R329" s="26"/>
      <c r="S329" s="14"/>
      <c r="T329" s="14"/>
      <c r="V329" s="15"/>
      <c r="W329" s="16"/>
      <c r="X329" s="17"/>
    </row>
    <row r="330" spans="17:24">
      <c r="Q330" s="30"/>
      <c r="R330" s="26"/>
      <c r="S330" s="14"/>
      <c r="T330" s="14"/>
      <c r="V330" s="15"/>
      <c r="W330" s="16"/>
      <c r="X330" s="17"/>
    </row>
    <row r="331" spans="17:24">
      <c r="Q331" s="30"/>
      <c r="R331" s="26"/>
      <c r="S331" s="14"/>
      <c r="T331" s="14"/>
      <c r="V331" s="15"/>
      <c r="W331" s="16"/>
      <c r="X331" s="17"/>
    </row>
    <row r="332" spans="17:24">
      <c r="Q332" s="30"/>
      <c r="R332" s="26"/>
      <c r="S332" s="14"/>
      <c r="T332" s="14"/>
      <c r="V332" s="15"/>
      <c r="W332" s="16"/>
      <c r="X332" s="17"/>
    </row>
    <row r="333" spans="17:24">
      <c r="Q333" s="30"/>
      <c r="R333" s="26"/>
      <c r="S333" s="14"/>
      <c r="T333" s="14"/>
      <c r="V333" s="15"/>
      <c r="W333" s="16"/>
      <c r="X333" s="17"/>
    </row>
    <row r="334" spans="17:24">
      <c r="Q334" s="30"/>
      <c r="R334" s="26"/>
      <c r="S334" s="14"/>
      <c r="T334" s="14"/>
      <c r="V334" s="15"/>
      <c r="W334" s="16"/>
      <c r="X334" s="17"/>
    </row>
    <row r="335" spans="17:24">
      <c r="Q335" s="30"/>
      <c r="R335" s="26"/>
      <c r="S335" s="14"/>
      <c r="T335" s="14"/>
      <c r="V335" s="15"/>
      <c r="W335" s="16"/>
      <c r="X335" s="17"/>
    </row>
    <row r="336" spans="17:24">
      <c r="Q336" s="30"/>
      <c r="R336" s="26"/>
      <c r="S336" s="14"/>
      <c r="T336" s="14"/>
      <c r="V336" s="15"/>
      <c r="W336" s="16"/>
      <c r="X336" s="17"/>
    </row>
    <row r="337" spans="17:24">
      <c r="Q337" s="30"/>
      <c r="R337" s="26"/>
      <c r="S337" s="14"/>
      <c r="T337" s="14"/>
      <c r="V337" s="15"/>
      <c r="W337" s="16"/>
      <c r="X337" s="17"/>
    </row>
    <row r="338" spans="17:24">
      <c r="Q338" s="30"/>
      <c r="R338" s="26"/>
      <c r="S338" s="14"/>
      <c r="T338" s="14"/>
      <c r="V338" s="15"/>
      <c r="W338" s="16"/>
      <c r="X338" s="17"/>
    </row>
    <row r="339" spans="17:24">
      <c r="Q339" s="30"/>
      <c r="R339" s="26"/>
      <c r="S339" s="14"/>
      <c r="T339" s="14"/>
      <c r="V339" s="15"/>
      <c r="W339" s="16"/>
      <c r="X339" s="17"/>
    </row>
    <row r="340" spans="17:24">
      <c r="Q340" s="30"/>
      <c r="R340" s="26"/>
      <c r="S340" s="14"/>
      <c r="T340" s="14"/>
      <c r="V340" s="15"/>
      <c r="W340" s="16"/>
      <c r="X340" s="17"/>
    </row>
    <row r="341" spans="17:24">
      <c r="Q341" s="30"/>
      <c r="R341" s="26"/>
      <c r="S341" s="14"/>
      <c r="T341" s="14"/>
      <c r="V341" s="15"/>
      <c r="W341" s="16"/>
      <c r="X341" s="17"/>
    </row>
    <row r="342" spans="17:24">
      <c r="Q342" s="30"/>
      <c r="R342" s="26"/>
      <c r="S342" s="14"/>
      <c r="T342" s="14"/>
      <c r="V342" s="15"/>
      <c r="W342" s="16"/>
      <c r="X342" s="17"/>
    </row>
    <row r="343" spans="17:24">
      <c r="Q343" s="30"/>
      <c r="R343" s="26"/>
      <c r="S343" s="14"/>
      <c r="T343" s="14"/>
      <c r="V343" s="15"/>
      <c r="W343" s="16"/>
      <c r="X343" s="17"/>
    </row>
    <row r="344" spans="17:24">
      <c r="Q344" s="30"/>
      <c r="R344" s="26"/>
      <c r="S344" s="14"/>
      <c r="T344" s="14"/>
      <c r="V344" s="15"/>
      <c r="W344" s="16"/>
      <c r="X344" s="17"/>
    </row>
    <row r="345" spans="17:24">
      <c r="Q345" s="30"/>
      <c r="R345" s="26"/>
      <c r="S345" s="14"/>
      <c r="T345" s="14"/>
      <c r="V345" s="15"/>
      <c r="W345" s="16"/>
      <c r="X345" s="17"/>
    </row>
    <row r="346" spans="17:24">
      <c r="Q346" s="30"/>
      <c r="R346" s="26"/>
      <c r="S346" s="14"/>
      <c r="T346" s="14"/>
      <c r="V346" s="15"/>
      <c r="W346" s="16"/>
      <c r="X346" s="17"/>
    </row>
    <row r="347" spans="17:24">
      <c r="Q347" s="30"/>
      <c r="R347" s="26"/>
      <c r="S347" s="14"/>
      <c r="T347" s="14"/>
      <c r="V347" s="15"/>
      <c r="W347" s="16"/>
      <c r="X347" s="17"/>
    </row>
    <row r="348" spans="17:24">
      <c r="Q348" s="30"/>
      <c r="R348" s="26"/>
      <c r="S348" s="14"/>
      <c r="T348" s="14"/>
      <c r="V348" s="15"/>
      <c r="W348" s="16"/>
      <c r="X348" s="17"/>
    </row>
    <row r="349" spans="17:24">
      <c r="Q349" s="30"/>
      <c r="R349" s="26"/>
      <c r="S349" s="14"/>
      <c r="T349" s="14"/>
      <c r="V349" s="15"/>
      <c r="W349" s="16"/>
      <c r="X349" s="17"/>
    </row>
    <row r="350" spans="17:24">
      <c r="Q350" s="30"/>
      <c r="R350" s="26"/>
      <c r="S350" s="14"/>
      <c r="T350" s="14"/>
      <c r="V350" s="15"/>
      <c r="W350" s="16"/>
      <c r="X350" s="17"/>
    </row>
    <row r="351" spans="17:24">
      <c r="Q351" s="30"/>
      <c r="R351" s="26"/>
      <c r="S351" s="14"/>
      <c r="T351" s="14"/>
      <c r="V351" s="15"/>
      <c r="W351" s="16"/>
      <c r="X351" s="17"/>
    </row>
    <row r="352" spans="17:24">
      <c r="Q352" s="30"/>
      <c r="R352" s="26"/>
      <c r="S352" s="14"/>
      <c r="T352" s="14"/>
      <c r="V352" s="15"/>
      <c r="W352" s="16"/>
      <c r="X352" s="17"/>
    </row>
    <row r="353" spans="17:24">
      <c r="Q353" s="30"/>
      <c r="R353" s="26"/>
      <c r="S353" s="14"/>
      <c r="T353" s="14"/>
      <c r="V353" s="15"/>
      <c r="W353" s="16"/>
      <c r="X353" s="17"/>
    </row>
    <row r="354" spans="17:24">
      <c r="Q354" s="30"/>
      <c r="R354" s="26"/>
      <c r="S354" s="14"/>
      <c r="T354" s="14"/>
      <c r="V354" s="15"/>
      <c r="W354" s="16"/>
      <c r="X354" s="17"/>
    </row>
    <row r="355" spans="17:24">
      <c r="Q355" s="30"/>
      <c r="R355" s="26"/>
      <c r="S355" s="14"/>
      <c r="T355" s="14"/>
      <c r="V355" s="15"/>
      <c r="W355" s="16"/>
      <c r="X355" s="17"/>
    </row>
    <row r="356" spans="17:24">
      <c r="Q356" s="30"/>
      <c r="R356" s="26"/>
      <c r="S356" s="14"/>
      <c r="T356" s="14"/>
      <c r="V356" s="15"/>
      <c r="W356" s="16"/>
      <c r="X356" s="17"/>
    </row>
    <row r="357" spans="17:24">
      <c r="Q357" s="30"/>
      <c r="R357" s="26"/>
      <c r="S357" s="14"/>
      <c r="T357" s="14"/>
      <c r="V357" s="15"/>
      <c r="W357" s="16"/>
      <c r="X357" s="17"/>
    </row>
    <row r="358" spans="17:24">
      <c r="Q358" s="30"/>
      <c r="R358" s="26"/>
      <c r="S358" s="14"/>
      <c r="T358" s="14"/>
      <c r="V358" s="15"/>
      <c r="W358" s="16"/>
      <c r="X358" s="17"/>
    </row>
    <row r="359" spans="17:24">
      <c r="Q359" s="30"/>
      <c r="R359" s="26"/>
      <c r="S359" s="14"/>
      <c r="T359" s="14"/>
      <c r="V359" s="15"/>
      <c r="W359" s="16"/>
      <c r="X359" s="17"/>
    </row>
    <row r="360" spans="17:24">
      <c r="Q360" s="30"/>
      <c r="R360" s="26"/>
      <c r="S360" s="14"/>
      <c r="T360" s="14"/>
      <c r="V360" s="15"/>
      <c r="W360" s="16"/>
      <c r="X360" s="17"/>
    </row>
    <row r="361" spans="17:24">
      <c r="Q361" s="30"/>
      <c r="R361" s="26"/>
      <c r="S361" s="14"/>
      <c r="T361" s="14"/>
      <c r="V361" s="15"/>
      <c r="W361" s="16"/>
      <c r="X361" s="17"/>
    </row>
    <row r="362" spans="17:24">
      <c r="Q362" s="30"/>
      <c r="R362" s="26"/>
      <c r="S362" s="14"/>
      <c r="T362" s="14"/>
      <c r="V362" s="15"/>
      <c r="W362" s="16"/>
      <c r="X362" s="17"/>
    </row>
    <row r="363" spans="17:24">
      <c r="Q363" s="30"/>
      <c r="R363" s="26"/>
      <c r="S363" s="14"/>
      <c r="T363" s="14"/>
      <c r="V363" s="15"/>
      <c r="W363" s="16"/>
      <c r="X363" s="17"/>
    </row>
    <row r="364" spans="17:24">
      <c r="Q364" s="30"/>
      <c r="R364" s="26"/>
      <c r="S364" s="14"/>
      <c r="T364" s="14"/>
      <c r="V364" s="15"/>
      <c r="W364" s="16"/>
      <c r="X364" s="17"/>
    </row>
    <row r="365" spans="17:24">
      <c r="Q365" s="30"/>
      <c r="R365" s="26"/>
      <c r="S365" s="14"/>
      <c r="T365" s="14"/>
      <c r="V365" s="15"/>
      <c r="W365" s="16"/>
      <c r="X365" s="17"/>
    </row>
    <row r="366" spans="17:24">
      <c r="Q366" s="30"/>
      <c r="R366" s="26"/>
      <c r="S366" s="14"/>
      <c r="T366" s="14"/>
      <c r="V366" s="15"/>
      <c r="W366" s="16"/>
      <c r="X366" s="17"/>
    </row>
    <row r="367" spans="17:24">
      <c r="Q367" s="30"/>
      <c r="R367" s="26"/>
      <c r="S367" s="14"/>
      <c r="T367" s="14"/>
      <c r="V367" s="15"/>
      <c r="W367" s="16"/>
      <c r="X367" s="17"/>
    </row>
    <row r="368" spans="17:24">
      <c r="Q368" s="30"/>
      <c r="R368" s="26"/>
      <c r="S368" s="14"/>
      <c r="T368" s="14"/>
      <c r="V368" s="15"/>
      <c r="W368" s="16"/>
      <c r="X368" s="17"/>
    </row>
    <row r="369" spans="17:24">
      <c r="Q369" s="30"/>
      <c r="R369" s="26"/>
      <c r="S369" s="14"/>
      <c r="T369" s="14"/>
      <c r="V369" s="15"/>
      <c r="W369" s="16"/>
      <c r="X369" s="17"/>
    </row>
    <row r="370" spans="17:24">
      <c r="Q370" s="30"/>
      <c r="R370" s="26"/>
      <c r="S370" s="14"/>
      <c r="T370" s="14"/>
      <c r="V370" s="15"/>
      <c r="W370" s="16"/>
      <c r="X370" s="17"/>
    </row>
    <row r="371" spans="17:24">
      <c r="Q371" s="30"/>
      <c r="R371" s="26"/>
      <c r="S371" s="14"/>
      <c r="T371" s="14"/>
      <c r="V371" s="15"/>
      <c r="W371" s="16"/>
      <c r="X371" s="17"/>
    </row>
    <row r="372" spans="17:24">
      <c r="Q372" s="30"/>
      <c r="R372" s="26"/>
      <c r="S372" s="14"/>
      <c r="T372" s="14"/>
      <c r="V372" s="15"/>
      <c r="W372" s="16"/>
      <c r="X372" s="17"/>
    </row>
    <row r="373" spans="17:24">
      <c r="Q373" s="30"/>
      <c r="R373" s="26"/>
      <c r="S373" s="14"/>
      <c r="T373" s="14"/>
      <c r="V373" s="15"/>
      <c r="W373" s="16"/>
      <c r="X373" s="17"/>
    </row>
    <row r="374" spans="17:24">
      <c r="Q374" s="30"/>
      <c r="R374" s="26"/>
      <c r="S374" s="14"/>
      <c r="T374" s="14"/>
      <c r="V374" s="15"/>
      <c r="W374" s="16"/>
      <c r="X374" s="17"/>
    </row>
    <row r="375" spans="17:24">
      <c r="Q375" s="30"/>
      <c r="R375" s="26"/>
      <c r="S375" s="14"/>
      <c r="T375" s="14"/>
      <c r="V375" s="15"/>
      <c r="W375" s="16"/>
      <c r="X375" s="17"/>
    </row>
    <row r="376" spans="17:24">
      <c r="Q376" s="30"/>
      <c r="R376" s="26"/>
      <c r="S376" s="14"/>
      <c r="T376" s="14"/>
      <c r="V376" s="15"/>
      <c r="W376" s="16"/>
      <c r="X376" s="17"/>
    </row>
    <row r="377" spans="17:24">
      <c r="Q377" s="30"/>
      <c r="R377" s="26"/>
      <c r="S377" s="14"/>
      <c r="T377" s="14"/>
      <c r="V377" s="15"/>
      <c r="W377" s="16"/>
      <c r="X377" s="17"/>
    </row>
    <row r="378" spans="17:24">
      <c r="Q378" s="30"/>
      <c r="R378" s="26"/>
      <c r="S378" s="14"/>
      <c r="T378" s="14"/>
      <c r="V378" s="15"/>
      <c r="W378" s="16"/>
      <c r="X378" s="17"/>
    </row>
    <row r="379" spans="17:24">
      <c r="Q379" s="30"/>
      <c r="R379" s="26"/>
      <c r="S379" s="14"/>
      <c r="T379" s="14"/>
      <c r="V379" s="15"/>
      <c r="W379" s="16"/>
      <c r="X379" s="17"/>
    </row>
    <row r="380" spans="17:24">
      <c r="Q380" s="30"/>
      <c r="R380" s="26"/>
      <c r="S380" s="14"/>
      <c r="T380" s="14"/>
      <c r="V380" s="15"/>
      <c r="W380" s="16"/>
      <c r="X380" s="17"/>
    </row>
    <row r="381" spans="17:24">
      <c r="Q381" s="30"/>
      <c r="R381" s="26"/>
      <c r="S381" s="14"/>
      <c r="T381" s="14"/>
      <c r="V381" s="15"/>
      <c r="W381" s="16"/>
      <c r="X381" s="17"/>
    </row>
    <row r="382" spans="17:24">
      <c r="Q382" s="30"/>
      <c r="R382" s="26"/>
      <c r="S382" s="14"/>
      <c r="T382" s="14"/>
      <c r="V382" s="15"/>
      <c r="W382" s="16"/>
      <c r="X382" s="17"/>
    </row>
    <row r="383" spans="17:24">
      <c r="Q383" s="30"/>
      <c r="R383" s="26"/>
      <c r="S383" s="14"/>
      <c r="T383" s="14"/>
      <c r="V383" s="15"/>
      <c r="W383" s="16"/>
      <c r="X383" s="17"/>
    </row>
    <row r="384" spans="17:24">
      <c r="Q384" s="30"/>
      <c r="R384" s="26"/>
      <c r="S384" s="14"/>
      <c r="T384" s="14"/>
      <c r="V384" s="15"/>
      <c r="W384" s="16"/>
      <c r="X384" s="17"/>
    </row>
    <row r="385" spans="17:24">
      <c r="Q385" s="30"/>
      <c r="R385" s="26"/>
      <c r="S385" s="14"/>
      <c r="T385" s="14"/>
      <c r="V385" s="15"/>
      <c r="W385" s="16"/>
      <c r="X385" s="17"/>
    </row>
    <row r="386" spans="17:24">
      <c r="Q386" s="30"/>
      <c r="R386" s="26"/>
      <c r="S386" s="14"/>
      <c r="T386" s="14"/>
      <c r="V386" s="15"/>
      <c r="W386" s="16"/>
      <c r="X386" s="17"/>
    </row>
    <row r="387" spans="17:24">
      <c r="Q387" s="30"/>
      <c r="R387" s="26"/>
      <c r="S387" s="14"/>
      <c r="T387" s="14"/>
      <c r="V387" s="15"/>
      <c r="W387" s="16"/>
      <c r="X387" s="17"/>
    </row>
    <row r="388" spans="17:24">
      <c r="Q388" s="30"/>
      <c r="R388" s="26"/>
      <c r="S388" s="14"/>
      <c r="T388" s="14"/>
      <c r="V388" s="15"/>
      <c r="W388" s="16"/>
      <c r="X388" s="17"/>
    </row>
    <row r="389" spans="17:24">
      <c r="Q389" s="30"/>
      <c r="R389" s="26"/>
      <c r="S389" s="14"/>
      <c r="T389" s="14"/>
      <c r="V389" s="15"/>
      <c r="W389" s="16"/>
      <c r="X389" s="17"/>
    </row>
    <row r="390" spans="17:24">
      <c r="Q390" s="30"/>
      <c r="R390" s="26"/>
      <c r="S390" s="14"/>
      <c r="T390" s="14"/>
      <c r="V390" s="15"/>
      <c r="W390" s="16"/>
      <c r="X390" s="17"/>
    </row>
    <row r="391" spans="17:24">
      <c r="Q391" s="30"/>
      <c r="R391" s="26"/>
      <c r="S391" s="14"/>
      <c r="T391" s="14"/>
      <c r="V391" s="15"/>
      <c r="W391" s="16"/>
      <c r="X391" s="17"/>
    </row>
    <row r="392" spans="17:24">
      <c r="Q392" s="30"/>
      <c r="R392" s="26"/>
      <c r="S392" s="14"/>
      <c r="T392" s="14"/>
      <c r="V392" s="15"/>
      <c r="W392" s="16"/>
      <c r="X392" s="17"/>
    </row>
    <row r="393" spans="17:24">
      <c r="Q393" s="30"/>
      <c r="R393" s="26"/>
      <c r="S393" s="14"/>
      <c r="T393" s="14"/>
      <c r="V393" s="15"/>
      <c r="W393" s="16"/>
      <c r="X393" s="17"/>
    </row>
    <row r="394" spans="17:24">
      <c r="Q394" s="30"/>
      <c r="R394" s="26"/>
      <c r="S394" s="14"/>
      <c r="T394" s="14"/>
      <c r="V394" s="15"/>
      <c r="W394" s="16"/>
      <c r="X394" s="17"/>
    </row>
    <row r="395" spans="17:24">
      <c r="Q395" s="30"/>
      <c r="R395" s="26"/>
      <c r="S395" s="14"/>
      <c r="T395" s="14"/>
      <c r="V395" s="15"/>
      <c r="W395" s="16"/>
      <c r="X395" s="17"/>
    </row>
    <row r="396" spans="17:24">
      <c r="Q396" s="30"/>
      <c r="R396" s="26"/>
      <c r="S396" s="14"/>
      <c r="T396" s="14"/>
      <c r="V396" s="15"/>
      <c r="W396" s="16"/>
      <c r="X396" s="17"/>
    </row>
    <row r="397" spans="17:24">
      <c r="Q397" s="30"/>
      <c r="R397" s="26"/>
      <c r="S397" s="14"/>
      <c r="T397" s="14"/>
      <c r="V397" s="15"/>
      <c r="W397" s="16"/>
      <c r="X397" s="17"/>
    </row>
    <row r="398" spans="17:24">
      <c r="Q398" s="30"/>
      <c r="R398" s="26"/>
      <c r="S398" s="14"/>
      <c r="T398" s="14"/>
      <c r="V398" s="15"/>
      <c r="W398" s="16"/>
      <c r="X398" s="17"/>
    </row>
    <row r="399" spans="17:24">
      <c r="Q399" s="30"/>
      <c r="R399" s="26"/>
      <c r="S399" s="14"/>
      <c r="T399" s="14"/>
      <c r="V399" s="15"/>
      <c r="W399" s="16"/>
      <c r="X399" s="17"/>
    </row>
    <row r="400" spans="17:24">
      <c r="Q400" s="30"/>
      <c r="R400" s="26"/>
      <c r="S400" s="14"/>
      <c r="T400" s="14"/>
      <c r="V400" s="15"/>
      <c r="W400" s="16"/>
      <c r="X400" s="17"/>
    </row>
    <row r="401" spans="17:24">
      <c r="Q401" s="30"/>
      <c r="R401" s="26"/>
      <c r="S401" s="14"/>
      <c r="T401" s="14"/>
      <c r="V401" s="15"/>
      <c r="W401" s="16"/>
      <c r="X401" s="17"/>
    </row>
    <row r="402" spans="17:24">
      <c r="Q402" s="30"/>
      <c r="R402" s="26"/>
      <c r="S402" s="14"/>
      <c r="T402" s="14"/>
      <c r="V402" s="15"/>
      <c r="W402" s="16"/>
      <c r="X402" s="17"/>
    </row>
    <row r="403" spans="17:24">
      <c r="Q403" s="30"/>
      <c r="R403" s="26"/>
      <c r="S403" s="14"/>
      <c r="T403" s="14"/>
      <c r="V403" s="15"/>
      <c r="W403" s="16"/>
      <c r="X403" s="17"/>
    </row>
    <row r="404" spans="17:24">
      <c r="Q404" s="30"/>
      <c r="R404" s="26"/>
      <c r="S404" s="14"/>
      <c r="T404" s="14"/>
      <c r="V404" s="15"/>
      <c r="W404" s="16"/>
      <c r="X404" s="17"/>
    </row>
    <row r="405" spans="17:24">
      <c r="Q405" s="30"/>
      <c r="R405" s="26"/>
      <c r="S405" s="14"/>
      <c r="T405" s="14"/>
      <c r="V405" s="15"/>
      <c r="W405" s="16"/>
      <c r="X405" s="17"/>
    </row>
    <row r="406" spans="17:24">
      <c r="Q406" s="30"/>
      <c r="R406" s="26"/>
      <c r="S406" s="14"/>
      <c r="T406" s="14"/>
      <c r="V406" s="15"/>
      <c r="W406" s="16"/>
      <c r="X406" s="17"/>
    </row>
    <row r="407" spans="17:24">
      <c r="Q407" s="30"/>
      <c r="R407" s="26"/>
      <c r="S407" s="14"/>
      <c r="T407" s="14"/>
      <c r="V407" s="15"/>
      <c r="W407" s="16"/>
      <c r="X407" s="17"/>
    </row>
    <row r="408" spans="17:24">
      <c r="Q408" s="30"/>
      <c r="R408" s="26"/>
      <c r="S408" s="14"/>
      <c r="T408" s="14"/>
      <c r="V408" s="15"/>
      <c r="W408" s="16"/>
      <c r="X408" s="17"/>
    </row>
    <row r="409" spans="17:24">
      <c r="Q409" s="30"/>
      <c r="R409" s="26"/>
      <c r="S409" s="14"/>
      <c r="T409" s="14"/>
      <c r="V409" s="15"/>
      <c r="W409" s="16"/>
      <c r="X409" s="17"/>
    </row>
    <row r="410" spans="17:24">
      <c r="Q410" s="30"/>
      <c r="R410" s="26"/>
      <c r="S410" s="14"/>
      <c r="T410" s="14"/>
      <c r="V410" s="15"/>
      <c r="W410" s="16"/>
      <c r="X410" s="17"/>
    </row>
    <row r="411" spans="17:24">
      <c r="Q411" s="30"/>
      <c r="R411" s="26"/>
      <c r="S411" s="14"/>
      <c r="T411" s="14"/>
      <c r="V411" s="15"/>
      <c r="W411" s="16"/>
      <c r="X411" s="17"/>
    </row>
    <row r="412" spans="17:24">
      <c r="Q412" s="30"/>
      <c r="R412" s="26"/>
      <c r="S412" s="14"/>
      <c r="T412" s="14"/>
      <c r="V412" s="15"/>
      <c r="W412" s="16"/>
      <c r="X412" s="17"/>
    </row>
    <row r="413" spans="17:24">
      <c r="Q413" s="30"/>
      <c r="R413" s="26"/>
      <c r="S413" s="14"/>
      <c r="T413" s="14"/>
      <c r="V413" s="15"/>
      <c r="W413" s="16"/>
      <c r="X413" s="17"/>
    </row>
    <row r="414" spans="17:24">
      <c r="Q414" s="30"/>
      <c r="R414" s="26"/>
      <c r="S414" s="14"/>
      <c r="T414" s="14"/>
      <c r="V414" s="15"/>
      <c r="W414" s="16"/>
      <c r="X414" s="17"/>
    </row>
    <row r="415" spans="17:24">
      <c r="Q415" s="30"/>
      <c r="R415" s="26"/>
      <c r="S415" s="14"/>
      <c r="T415" s="14"/>
      <c r="V415" s="15"/>
      <c r="W415" s="16"/>
      <c r="X415" s="17"/>
    </row>
    <row r="416" spans="17:24">
      <c r="Q416" s="30"/>
      <c r="R416" s="26"/>
      <c r="S416" s="14"/>
      <c r="T416" s="14"/>
      <c r="V416" s="15"/>
      <c r="W416" s="16"/>
      <c r="X416" s="17"/>
    </row>
    <row r="417" spans="17:24">
      <c r="Q417" s="30"/>
      <c r="R417" s="26"/>
      <c r="S417" s="14"/>
      <c r="T417" s="14"/>
      <c r="V417" s="15"/>
      <c r="W417" s="16"/>
      <c r="X417" s="17"/>
    </row>
    <row r="418" spans="17:24">
      <c r="Q418" s="30"/>
      <c r="R418" s="26"/>
      <c r="S418" s="14"/>
      <c r="T418" s="14"/>
      <c r="V418" s="15"/>
      <c r="W418" s="16"/>
      <c r="X418" s="17"/>
    </row>
    <row r="419" spans="17:24">
      <c r="Q419" s="30"/>
      <c r="R419" s="26"/>
      <c r="S419" s="14"/>
      <c r="T419" s="14"/>
      <c r="V419" s="15"/>
      <c r="W419" s="16"/>
      <c r="X419" s="17"/>
    </row>
    <row r="420" spans="17:24">
      <c r="Q420" s="30"/>
      <c r="R420" s="26"/>
      <c r="S420" s="14"/>
      <c r="T420" s="14"/>
      <c r="V420" s="15"/>
      <c r="W420" s="16"/>
      <c r="X420" s="17"/>
    </row>
    <row r="421" spans="17:24">
      <c r="Q421" s="30"/>
      <c r="R421" s="26"/>
      <c r="S421" s="14"/>
      <c r="T421" s="14"/>
      <c r="V421" s="15"/>
      <c r="W421" s="16"/>
      <c r="X421" s="17"/>
    </row>
    <row r="422" spans="17:24">
      <c r="Q422" s="30"/>
      <c r="R422" s="26"/>
      <c r="S422" s="14"/>
      <c r="T422" s="14"/>
      <c r="V422" s="15"/>
      <c r="W422" s="16"/>
      <c r="X422" s="17"/>
    </row>
    <row r="423" spans="17:24">
      <c r="Q423" s="30"/>
      <c r="R423" s="26"/>
      <c r="S423" s="14"/>
      <c r="T423" s="14"/>
      <c r="V423" s="15"/>
      <c r="W423" s="16"/>
      <c r="X423" s="17"/>
    </row>
    <row r="424" spans="17:24">
      <c r="Q424" s="30"/>
      <c r="R424" s="26"/>
      <c r="S424" s="14"/>
      <c r="T424" s="14"/>
      <c r="V424" s="15"/>
      <c r="W424" s="16"/>
      <c r="X424" s="17"/>
    </row>
    <row r="425" spans="17:24">
      <c r="Q425" s="30"/>
      <c r="R425" s="26"/>
      <c r="S425" s="14"/>
      <c r="T425" s="14"/>
      <c r="V425" s="15"/>
      <c r="W425" s="16"/>
      <c r="X425" s="17"/>
    </row>
    <row r="426" spans="17:24">
      <c r="Q426" s="30"/>
      <c r="R426" s="26"/>
      <c r="S426" s="14"/>
      <c r="T426" s="14"/>
      <c r="V426" s="15"/>
      <c r="W426" s="16"/>
      <c r="X426" s="17"/>
    </row>
    <row r="427" spans="17:24">
      <c r="Q427" s="30"/>
      <c r="R427" s="26"/>
      <c r="S427" s="14"/>
      <c r="T427" s="14"/>
      <c r="V427" s="15"/>
      <c r="W427" s="16"/>
      <c r="X427" s="17"/>
    </row>
    <row r="428" spans="17:24">
      <c r="Q428" s="30"/>
      <c r="R428" s="26"/>
      <c r="S428" s="14"/>
      <c r="T428" s="14"/>
      <c r="V428" s="15"/>
      <c r="W428" s="16"/>
      <c r="X428" s="17"/>
    </row>
    <row r="429" spans="17:24">
      <c r="Q429" s="30"/>
      <c r="R429" s="26"/>
      <c r="S429" s="14"/>
      <c r="T429" s="14"/>
      <c r="V429" s="15"/>
      <c r="W429" s="16"/>
      <c r="X429" s="17"/>
    </row>
    <row r="430" spans="17:24">
      <c r="Q430" s="30"/>
      <c r="R430" s="26"/>
      <c r="S430" s="14"/>
      <c r="T430" s="14"/>
      <c r="V430" s="15"/>
      <c r="W430" s="16"/>
      <c r="X430" s="17"/>
    </row>
    <row r="431" spans="17:24">
      <c r="Q431" s="30"/>
      <c r="R431" s="26"/>
      <c r="S431" s="14"/>
      <c r="T431" s="14"/>
      <c r="V431" s="15"/>
      <c r="W431" s="16"/>
      <c r="X431" s="17"/>
    </row>
    <row r="432" spans="17:24">
      <c r="Q432" s="30"/>
      <c r="R432" s="26"/>
      <c r="S432" s="14"/>
      <c r="T432" s="14"/>
      <c r="V432" s="15"/>
      <c r="W432" s="16"/>
      <c r="X432" s="17"/>
    </row>
    <row r="433" spans="17:24">
      <c r="Q433" s="30"/>
      <c r="R433" s="26"/>
      <c r="S433" s="14"/>
      <c r="T433" s="14"/>
      <c r="V433" s="15"/>
      <c r="W433" s="16"/>
      <c r="X433" s="17"/>
    </row>
    <row r="434" spans="17:24">
      <c r="Q434" s="30"/>
      <c r="R434" s="26"/>
      <c r="S434" s="14"/>
      <c r="T434" s="14"/>
      <c r="V434" s="15"/>
      <c r="W434" s="16"/>
      <c r="X434" s="17"/>
    </row>
    <row r="435" spans="17:24">
      <c r="Q435" s="30"/>
      <c r="R435" s="26"/>
      <c r="S435" s="14"/>
      <c r="T435" s="14"/>
      <c r="V435" s="15"/>
      <c r="W435" s="16"/>
      <c r="X435" s="17"/>
    </row>
    <row r="436" spans="17:24">
      <c r="Q436" s="30"/>
      <c r="R436" s="26"/>
      <c r="S436" s="14"/>
      <c r="T436" s="14"/>
      <c r="V436" s="15"/>
      <c r="W436" s="16"/>
      <c r="X436" s="17"/>
    </row>
    <row r="437" spans="17:24">
      <c r="Q437" s="30"/>
      <c r="R437" s="26"/>
      <c r="S437" s="14"/>
      <c r="T437" s="14"/>
      <c r="V437" s="15"/>
      <c r="W437" s="16"/>
      <c r="X437" s="17"/>
    </row>
    <row r="438" spans="17:24">
      <c r="Q438" s="30"/>
      <c r="R438" s="26"/>
      <c r="S438" s="14"/>
      <c r="T438" s="14"/>
      <c r="V438" s="15"/>
      <c r="W438" s="16"/>
      <c r="X438" s="17"/>
    </row>
    <row r="439" spans="17:24">
      <c r="Q439" s="30"/>
      <c r="R439" s="26"/>
      <c r="S439" s="14"/>
      <c r="T439" s="14"/>
      <c r="V439" s="15"/>
      <c r="W439" s="16"/>
      <c r="X439" s="17"/>
    </row>
    <row r="440" spans="17:24">
      <c r="Q440" s="30"/>
      <c r="R440" s="26"/>
      <c r="S440" s="14"/>
      <c r="T440" s="14"/>
      <c r="V440" s="15"/>
      <c r="W440" s="16"/>
      <c r="X440" s="17"/>
    </row>
    <row r="441" spans="17:24">
      <c r="Q441" s="30"/>
      <c r="R441" s="26"/>
      <c r="S441" s="14"/>
      <c r="T441" s="14"/>
      <c r="V441" s="15"/>
      <c r="W441" s="16"/>
      <c r="X441" s="17"/>
    </row>
    <row r="442" spans="17:24">
      <c r="Q442" s="30"/>
      <c r="R442" s="26"/>
      <c r="S442" s="14"/>
      <c r="T442" s="14"/>
      <c r="V442" s="15"/>
      <c r="W442" s="16"/>
      <c r="X442" s="17"/>
    </row>
    <row r="443" spans="17:24">
      <c r="Q443" s="30"/>
      <c r="R443" s="26"/>
      <c r="S443" s="14"/>
      <c r="T443" s="14"/>
      <c r="V443" s="15"/>
      <c r="W443" s="16"/>
      <c r="X443" s="17"/>
    </row>
    <row r="444" spans="17:24">
      <c r="Q444" s="30"/>
      <c r="R444" s="26"/>
      <c r="S444" s="14"/>
      <c r="T444" s="14"/>
      <c r="V444" s="15"/>
      <c r="W444" s="16"/>
      <c r="X444" s="17"/>
    </row>
    <row r="445" spans="17:24">
      <c r="Q445" s="30"/>
      <c r="R445" s="26"/>
      <c r="S445" s="14"/>
      <c r="T445" s="14"/>
      <c r="V445" s="15"/>
      <c r="W445" s="16"/>
      <c r="X445" s="17"/>
    </row>
    <row r="446" spans="17:24">
      <c r="Q446" s="30"/>
      <c r="R446" s="26"/>
      <c r="S446" s="14"/>
      <c r="T446" s="14"/>
      <c r="V446" s="15"/>
      <c r="W446" s="16"/>
      <c r="X446" s="17"/>
    </row>
    <row r="447" spans="17:24">
      <c r="Q447" s="30"/>
      <c r="R447" s="26"/>
      <c r="S447" s="14"/>
      <c r="T447" s="14"/>
      <c r="V447" s="15"/>
      <c r="W447" s="16"/>
      <c r="X447" s="17"/>
    </row>
    <row r="448" spans="17:24">
      <c r="Q448" s="30"/>
      <c r="R448" s="26"/>
      <c r="S448" s="14"/>
      <c r="T448" s="14"/>
      <c r="V448" s="15"/>
      <c r="W448" s="16"/>
      <c r="X448" s="17"/>
    </row>
    <row r="449" spans="17:24">
      <c r="Q449" s="30"/>
      <c r="R449" s="26"/>
      <c r="S449" s="14"/>
      <c r="T449" s="14"/>
      <c r="V449" s="15"/>
      <c r="W449" s="16"/>
      <c r="X449" s="17"/>
    </row>
    <row r="450" spans="17:24">
      <c r="Q450" s="30"/>
      <c r="R450" s="26"/>
      <c r="S450" s="14"/>
      <c r="T450" s="14"/>
      <c r="V450" s="15"/>
      <c r="W450" s="16"/>
      <c r="X450" s="17"/>
    </row>
    <row r="451" spans="17:24">
      <c r="Q451" s="30"/>
      <c r="R451" s="26"/>
      <c r="S451" s="14"/>
      <c r="T451" s="14"/>
      <c r="V451" s="15"/>
      <c r="W451" s="16"/>
      <c r="X451" s="17"/>
    </row>
    <row r="452" spans="17:24">
      <c r="Q452" s="30"/>
      <c r="R452" s="26"/>
      <c r="S452" s="14"/>
      <c r="T452" s="14"/>
      <c r="V452" s="15"/>
      <c r="W452" s="16"/>
      <c r="X452" s="17"/>
    </row>
    <row r="453" spans="17:24">
      <c r="Q453" s="30"/>
      <c r="R453" s="26"/>
      <c r="S453" s="14"/>
      <c r="T453" s="14"/>
      <c r="V453" s="15"/>
      <c r="W453" s="16"/>
      <c r="X453" s="17"/>
    </row>
    <row r="454" spans="17:24">
      <c r="Q454" s="30"/>
      <c r="R454" s="26"/>
      <c r="S454" s="14"/>
      <c r="T454" s="14"/>
      <c r="V454" s="15"/>
      <c r="W454" s="16"/>
      <c r="X454" s="17"/>
    </row>
    <row r="455" spans="17:24">
      <c r="Q455" s="30"/>
      <c r="R455" s="26"/>
      <c r="S455" s="14"/>
      <c r="T455" s="14"/>
      <c r="V455" s="15"/>
      <c r="W455" s="16"/>
      <c r="X455" s="17"/>
    </row>
    <row r="456" spans="17:24">
      <c r="Q456" s="30"/>
      <c r="R456" s="26"/>
      <c r="S456" s="14"/>
      <c r="T456" s="14"/>
      <c r="V456" s="15"/>
      <c r="W456" s="16"/>
      <c r="X456" s="17"/>
    </row>
    <row r="457" spans="17:24">
      <c r="Q457" s="30"/>
      <c r="R457" s="26"/>
      <c r="S457" s="14"/>
      <c r="T457" s="14"/>
      <c r="V457" s="15"/>
      <c r="W457" s="16"/>
      <c r="X457" s="17"/>
    </row>
    <row r="458" spans="17:24">
      <c r="Q458" s="30"/>
      <c r="R458" s="26"/>
      <c r="S458" s="14"/>
      <c r="T458" s="14"/>
      <c r="V458" s="15"/>
      <c r="W458" s="16"/>
      <c r="X458" s="17"/>
    </row>
    <row r="459" spans="17:24">
      <c r="Q459" s="30"/>
      <c r="R459" s="26"/>
      <c r="S459" s="14"/>
      <c r="T459" s="14"/>
      <c r="V459" s="15"/>
      <c r="W459" s="16"/>
      <c r="X459" s="17"/>
    </row>
    <row r="460" spans="17:24">
      <c r="Q460" s="30"/>
      <c r="R460" s="26"/>
      <c r="S460" s="14"/>
      <c r="T460" s="14"/>
      <c r="V460" s="15"/>
      <c r="W460" s="16"/>
      <c r="X460" s="17"/>
    </row>
    <row r="461" spans="17:24">
      <c r="Q461" s="30"/>
      <c r="R461" s="26"/>
      <c r="S461" s="14"/>
      <c r="T461" s="14"/>
      <c r="V461" s="15"/>
      <c r="W461" s="16"/>
      <c r="X461" s="17"/>
    </row>
    <row r="462" spans="17:24">
      <c r="Q462" s="30"/>
      <c r="R462" s="26"/>
      <c r="S462" s="14"/>
      <c r="T462" s="14"/>
      <c r="V462" s="15"/>
      <c r="W462" s="16"/>
      <c r="X462" s="17"/>
    </row>
    <row r="463" spans="17:24">
      <c r="Q463" s="30"/>
      <c r="R463" s="26"/>
      <c r="S463" s="14"/>
      <c r="T463" s="14"/>
      <c r="V463" s="15"/>
      <c r="W463" s="16"/>
      <c r="X463" s="17"/>
    </row>
    <row r="464" spans="17:24">
      <c r="Q464" s="30"/>
      <c r="R464" s="26"/>
      <c r="S464" s="14"/>
      <c r="T464" s="14"/>
      <c r="V464" s="15"/>
      <c r="W464" s="16"/>
      <c r="X464" s="17"/>
    </row>
    <row r="465" spans="17:24">
      <c r="Q465" s="30"/>
      <c r="R465" s="26"/>
      <c r="S465" s="14"/>
      <c r="T465" s="14"/>
      <c r="V465" s="15"/>
      <c r="W465" s="16"/>
      <c r="X465" s="17"/>
    </row>
    <row r="466" spans="17:24">
      <c r="Q466" s="30"/>
      <c r="R466" s="26"/>
      <c r="S466" s="14"/>
      <c r="T466" s="14"/>
      <c r="V466" s="15"/>
      <c r="W466" s="16"/>
      <c r="X466" s="17"/>
    </row>
    <row r="467" spans="17:24">
      <c r="Q467" s="30"/>
      <c r="R467" s="26"/>
      <c r="S467" s="14"/>
      <c r="T467" s="14"/>
      <c r="V467" s="15"/>
      <c r="W467" s="16"/>
      <c r="X467" s="17"/>
    </row>
    <row r="468" spans="17:24">
      <c r="Q468" s="30"/>
      <c r="R468" s="26"/>
      <c r="S468" s="14"/>
      <c r="T468" s="14"/>
      <c r="V468" s="15"/>
      <c r="W468" s="16"/>
      <c r="X468" s="17"/>
    </row>
    <row r="469" spans="17:24">
      <c r="Q469" s="30"/>
      <c r="R469" s="26"/>
      <c r="S469" s="14"/>
      <c r="T469" s="14"/>
      <c r="V469" s="15"/>
      <c r="W469" s="16"/>
      <c r="X469" s="17"/>
    </row>
    <row r="470" spans="17:24">
      <c r="Q470" s="30"/>
      <c r="R470" s="26"/>
      <c r="S470" s="14"/>
      <c r="T470" s="14"/>
      <c r="V470" s="15"/>
      <c r="W470" s="16"/>
      <c r="X470" s="17"/>
    </row>
    <row r="471" spans="17:24">
      <c r="Q471" s="30"/>
      <c r="R471" s="26"/>
      <c r="S471" s="14"/>
      <c r="T471" s="14"/>
      <c r="V471" s="15"/>
      <c r="W471" s="16"/>
      <c r="X471" s="17"/>
    </row>
    <row r="472" spans="17:24">
      <c r="Q472" s="30"/>
      <c r="R472" s="26"/>
      <c r="S472" s="14"/>
      <c r="T472" s="14"/>
      <c r="V472" s="15"/>
      <c r="W472" s="16"/>
      <c r="X472" s="17"/>
    </row>
    <row r="473" spans="17:24">
      <c r="Q473" s="30"/>
      <c r="R473" s="26"/>
      <c r="S473" s="14"/>
      <c r="T473" s="14"/>
      <c r="V473" s="15"/>
      <c r="W473" s="16"/>
      <c r="X473" s="17"/>
    </row>
    <row r="474" spans="17:24">
      <c r="Q474" s="30"/>
      <c r="R474" s="26"/>
      <c r="S474" s="14"/>
      <c r="T474" s="14"/>
      <c r="V474" s="15"/>
      <c r="W474" s="16"/>
      <c r="X474" s="17"/>
    </row>
    <row r="475" spans="17:24">
      <c r="Q475" s="30"/>
      <c r="R475" s="26"/>
      <c r="S475" s="14"/>
      <c r="T475" s="14"/>
      <c r="V475" s="15"/>
      <c r="W475" s="16"/>
      <c r="X475" s="17"/>
    </row>
    <row r="476" spans="17:24">
      <c r="Q476" s="30"/>
      <c r="R476" s="26"/>
      <c r="S476" s="14"/>
      <c r="T476" s="14"/>
      <c r="V476" s="15"/>
      <c r="W476" s="16"/>
      <c r="X476" s="17"/>
    </row>
    <row r="477" spans="17:24">
      <c r="Q477" s="30"/>
      <c r="R477" s="26"/>
      <c r="S477" s="14"/>
      <c r="T477" s="14"/>
      <c r="V477" s="15"/>
      <c r="W477" s="16"/>
      <c r="X477" s="17"/>
    </row>
    <row r="478" spans="17:24">
      <c r="Q478" s="30"/>
      <c r="R478" s="26"/>
      <c r="S478" s="14"/>
      <c r="T478" s="14"/>
      <c r="V478" s="15"/>
      <c r="W478" s="16"/>
      <c r="X478" s="17"/>
    </row>
    <row r="479" spans="17:24">
      <c r="Q479" s="30"/>
      <c r="R479" s="26"/>
      <c r="S479" s="14"/>
      <c r="T479" s="14"/>
      <c r="V479" s="15"/>
      <c r="W479" s="16"/>
      <c r="X479" s="17"/>
    </row>
    <row r="480" spans="17:24">
      <c r="Q480" s="30"/>
      <c r="R480" s="26"/>
      <c r="S480" s="14"/>
      <c r="T480" s="14"/>
      <c r="V480" s="15"/>
      <c r="W480" s="16"/>
      <c r="X480" s="17"/>
    </row>
    <row r="481" spans="17:24">
      <c r="Q481" s="30"/>
      <c r="R481" s="26"/>
      <c r="S481" s="14"/>
      <c r="T481" s="14"/>
      <c r="V481" s="15"/>
      <c r="W481" s="16"/>
      <c r="X481" s="17"/>
    </row>
    <row r="482" spans="17:24">
      <c r="Q482" s="30"/>
      <c r="R482" s="26"/>
      <c r="S482" s="14"/>
      <c r="T482" s="14"/>
      <c r="V482" s="15"/>
      <c r="W482" s="16"/>
      <c r="X482" s="17"/>
    </row>
    <row r="483" spans="17:24">
      <c r="Q483" s="30"/>
      <c r="R483" s="26"/>
      <c r="S483" s="14"/>
      <c r="T483" s="14"/>
      <c r="V483" s="15"/>
      <c r="W483" s="16"/>
      <c r="X483" s="17"/>
    </row>
    <row r="484" spans="17:24">
      <c r="Q484" s="30"/>
      <c r="R484" s="26"/>
      <c r="S484" s="14"/>
      <c r="T484" s="14"/>
      <c r="V484" s="15"/>
      <c r="W484" s="16"/>
      <c r="X484" s="17"/>
    </row>
    <row r="485" spans="17:24">
      <c r="Q485" s="30"/>
      <c r="R485" s="26"/>
      <c r="S485" s="14"/>
      <c r="T485" s="14"/>
      <c r="V485" s="15"/>
      <c r="W485" s="16"/>
      <c r="X485" s="17"/>
    </row>
    <row r="486" spans="17:24">
      <c r="Q486" s="30"/>
      <c r="R486" s="26"/>
      <c r="S486" s="14"/>
      <c r="T486" s="14"/>
      <c r="V486" s="15"/>
      <c r="W486" s="16"/>
      <c r="X486" s="17"/>
    </row>
    <row r="487" spans="17:24">
      <c r="Q487" s="30"/>
      <c r="R487" s="26"/>
      <c r="S487" s="14"/>
      <c r="T487" s="14"/>
      <c r="V487" s="15"/>
      <c r="W487" s="16"/>
      <c r="X487" s="17"/>
    </row>
    <row r="488" spans="17:24">
      <c r="Q488" s="30"/>
      <c r="R488" s="26"/>
      <c r="S488" s="14"/>
      <c r="T488" s="14"/>
      <c r="V488" s="15"/>
      <c r="W488" s="16"/>
      <c r="X488" s="17"/>
    </row>
    <row r="489" spans="17:24">
      <c r="Q489" s="30"/>
      <c r="R489" s="26"/>
      <c r="S489" s="14"/>
      <c r="T489" s="14"/>
      <c r="V489" s="15"/>
      <c r="W489" s="16"/>
      <c r="X489" s="17"/>
    </row>
    <row r="490" spans="17:24">
      <c r="Q490" s="30"/>
      <c r="R490" s="26"/>
      <c r="S490" s="14"/>
      <c r="T490" s="14"/>
      <c r="V490" s="15"/>
      <c r="W490" s="16"/>
      <c r="X490" s="17"/>
    </row>
    <row r="491" spans="17:24">
      <c r="Q491" s="30"/>
      <c r="R491" s="26"/>
      <c r="S491" s="14"/>
      <c r="T491" s="14"/>
      <c r="V491" s="15"/>
      <c r="W491" s="16"/>
      <c r="X491" s="17"/>
    </row>
    <row r="492" spans="17:24">
      <c r="Q492" s="30"/>
      <c r="R492" s="26"/>
      <c r="S492" s="14"/>
      <c r="T492" s="14"/>
      <c r="V492" s="15"/>
      <c r="W492" s="16"/>
      <c r="X492" s="17"/>
    </row>
    <row r="493" spans="17:24">
      <c r="Q493" s="30"/>
      <c r="R493" s="26"/>
      <c r="S493" s="14"/>
      <c r="T493" s="14"/>
      <c r="V493" s="15"/>
      <c r="W493" s="16"/>
      <c r="X493" s="17"/>
    </row>
    <row r="494" spans="17:24">
      <c r="Q494" s="30"/>
      <c r="R494" s="26"/>
      <c r="S494" s="14"/>
      <c r="T494" s="14"/>
      <c r="V494" s="15"/>
      <c r="W494" s="16"/>
      <c r="X494" s="17"/>
    </row>
    <row r="495" spans="17:24">
      <c r="Q495" s="30"/>
      <c r="R495" s="26"/>
      <c r="S495" s="14"/>
      <c r="T495" s="14"/>
      <c r="V495" s="15"/>
      <c r="W495" s="16"/>
      <c r="X495" s="17"/>
    </row>
    <row r="496" spans="17:24">
      <c r="Q496" s="30"/>
      <c r="R496" s="26"/>
      <c r="S496" s="14"/>
      <c r="T496" s="14"/>
      <c r="V496" s="15"/>
      <c r="W496" s="16"/>
      <c r="X496" s="17"/>
    </row>
    <row r="497" spans="17:24">
      <c r="Q497" s="30"/>
      <c r="R497" s="26"/>
      <c r="S497" s="14"/>
      <c r="T497" s="14"/>
      <c r="V497" s="15"/>
      <c r="W497" s="16"/>
      <c r="X497" s="17"/>
    </row>
    <row r="498" spans="17:24">
      <c r="Q498" s="30"/>
      <c r="R498" s="26"/>
      <c r="S498" s="14"/>
      <c r="T498" s="14"/>
      <c r="V498" s="15"/>
      <c r="W498" s="16"/>
      <c r="X498" s="17"/>
    </row>
    <row r="499" spans="17:24">
      <c r="Q499" s="30"/>
      <c r="R499" s="26"/>
      <c r="S499" s="14"/>
      <c r="T499" s="14"/>
      <c r="V499" s="15"/>
      <c r="W499" s="16"/>
      <c r="X499" s="17"/>
    </row>
    <row r="500" spans="17:24">
      <c r="Q500" s="30"/>
      <c r="R500" s="26"/>
      <c r="S500" s="14"/>
      <c r="T500" s="14"/>
      <c r="V500" s="15"/>
      <c r="W500" s="16"/>
      <c r="X500" s="17"/>
    </row>
    <row r="501" spans="17:24">
      <c r="Q501" s="30"/>
      <c r="R501" s="26"/>
      <c r="S501" s="14"/>
      <c r="T501" s="14"/>
      <c r="V501" s="15"/>
      <c r="W501" s="16"/>
      <c r="X501" s="17"/>
    </row>
    <row r="502" spans="17:24">
      <c r="Q502" s="30"/>
      <c r="R502" s="26"/>
      <c r="S502" s="14"/>
      <c r="T502" s="14"/>
      <c r="V502" s="15"/>
      <c r="W502" s="16"/>
      <c r="X502" s="17"/>
    </row>
    <row r="503" spans="17:24">
      <c r="Q503" s="30"/>
      <c r="R503" s="26"/>
      <c r="S503" s="14"/>
      <c r="T503" s="14"/>
      <c r="V503" s="15"/>
      <c r="W503" s="16"/>
      <c r="X503" s="17"/>
    </row>
    <row r="504" spans="17:24">
      <c r="Q504" s="30"/>
      <c r="R504" s="26"/>
      <c r="S504" s="14"/>
      <c r="T504" s="14"/>
      <c r="V504" s="15"/>
      <c r="W504" s="16"/>
      <c r="X504" s="17"/>
    </row>
    <row r="505" spans="17:24">
      <c r="Q505" s="30"/>
      <c r="R505" s="26"/>
      <c r="S505" s="14"/>
      <c r="T505" s="14"/>
      <c r="V505" s="15"/>
      <c r="W505" s="16"/>
      <c r="X505" s="17"/>
    </row>
    <row r="506" spans="17:24">
      <c r="Q506" s="30"/>
      <c r="R506" s="26"/>
      <c r="S506" s="14"/>
      <c r="T506" s="14"/>
      <c r="V506" s="15"/>
      <c r="W506" s="16"/>
      <c r="X506" s="17"/>
    </row>
    <row r="507" spans="17:24">
      <c r="Q507" s="30"/>
      <c r="R507" s="26"/>
      <c r="S507" s="14"/>
      <c r="T507" s="14"/>
      <c r="V507" s="15"/>
      <c r="W507" s="16"/>
      <c r="X507" s="17"/>
    </row>
    <row r="508" spans="17:24">
      <c r="Q508" s="30"/>
      <c r="R508" s="26"/>
      <c r="S508" s="14"/>
      <c r="T508" s="14"/>
      <c r="V508" s="15"/>
      <c r="W508" s="16"/>
      <c r="X508" s="17"/>
    </row>
    <row r="509" spans="17:24">
      <c r="Q509" s="30"/>
      <c r="R509" s="26"/>
      <c r="S509" s="14"/>
      <c r="T509" s="14"/>
      <c r="V509" s="15"/>
      <c r="W509" s="16"/>
      <c r="X509" s="17"/>
    </row>
    <row r="510" spans="17:24">
      <c r="Q510" s="30"/>
      <c r="R510" s="26"/>
      <c r="S510" s="14"/>
      <c r="T510" s="14"/>
      <c r="V510" s="15"/>
      <c r="W510" s="16"/>
      <c r="X510" s="17"/>
    </row>
    <row r="511" spans="17:24">
      <c r="Q511" s="30"/>
      <c r="R511" s="26"/>
      <c r="S511" s="14"/>
      <c r="T511" s="14"/>
      <c r="V511" s="15"/>
      <c r="W511" s="16"/>
      <c r="X511" s="17"/>
    </row>
    <row r="512" spans="17:24">
      <c r="Q512" s="30"/>
      <c r="R512" s="26"/>
      <c r="S512" s="14"/>
      <c r="T512" s="14"/>
      <c r="V512" s="15"/>
      <c r="W512" s="16"/>
      <c r="X512" s="17"/>
    </row>
    <row r="513" spans="17:24">
      <c r="Q513" s="30"/>
      <c r="R513" s="26"/>
      <c r="S513" s="14"/>
      <c r="T513" s="14"/>
      <c r="V513" s="15"/>
      <c r="W513" s="16"/>
      <c r="X513" s="17"/>
    </row>
    <row r="514" spans="17:24">
      <c r="Q514" s="30"/>
      <c r="R514" s="26"/>
      <c r="S514" s="14"/>
      <c r="T514" s="14"/>
      <c r="V514" s="15"/>
      <c r="W514" s="16"/>
      <c r="X514" s="17"/>
    </row>
    <row r="515" spans="17:24">
      <c r="Q515" s="30"/>
      <c r="R515" s="26"/>
      <c r="S515" s="14"/>
      <c r="T515" s="14"/>
      <c r="V515" s="15"/>
      <c r="W515" s="16"/>
      <c r="X515" s="17"/>
    </row>
    <row r="516" spans="17:24">
      <c r="Q516" s="30"/>
      <c r="R516" s="26"/>
      <c r="S516" s="14"/>
      <c r="T516" s="14"/>
      <c r="V516" s="15"/>
      <c r="W516" s="16"/>
      <c r="X516" s="17"/>
    </row>
    <row r="517" spans="17:24">
      <c r="Q517" s="30"/>
      <c r="R517" s="26"/>
      <c r="S517" s="14"/>
      <c r="T517" s="14"/>
      <c r="V517" s="15"/>
      <c r="W517" s="16"/>
      <c r="X517" s="17"/>
    </row>
    <row r="518" spans="17:24">
      <c r="Q518" s="30"/>
      <c r="R518" s="26"/>
      <c r="S518" s="14"/>
      <c r="T518" s="14"/>
      <c r="V518" s="15"/>
      <c r="W518" s="16"/>
      <c r="X518" s="17"/>
    </row>
    <row r="519" spans="17:24">
      <c r="Q519" s="30"/>
      <c r="R519" s="26"/>
      <c r="S519" s="14"/>
      <c r="T519" s="14"/>
      <c r="V519" s="15"/>
      <c r="W519" s="16"/>
      <c r="X519" s="17"/>
    </row>
    <row r="520" spans="17:24">
      <c r="Q520" s="30"/>
      <c r="R520" s="26"/>
      <c r="S520" s="14"/>
      <c r="T520" s="14"/>
      <c r="V520" s="15"/>
      <c r="W520" s="16"/>
      <c r="X520" s="17"/>
    </row>
    <row r="521" spans="17:24">
      <c r="Q521" s="30"/>
      <c r="R521" s="26"/>
      <c r="S521" s="14"/>
      <c r="T521" s="14"/>
      <c r="V521" s="15"/>
      <c r="W521" s="16"/>
      <c r="X521" s="17"/>
    </row>
    <row r="522" spans="17:24">
      <c r="Q522" s="30"/>
      <c r="R522" s="26"/>
      <c r="S522" s="14"/>
      <c r="T522" s="14"/>
      <c r="V522" s="15"/>
      <c r="W522" s="16"/>
      <c r="X522" s="17"/>
    </row>
    <row r="523" spans="17:24">
      <c r="Q523" s="30"/>
      <c r="R523" s="26"/>
      <c r="S523" s="14"/>
      <c r="T523" s="14"/>
      <c r="V523" s="15"/>
      <c r="W523" s="16"/>
      <c r="X523" s="17"/>
    </row>
    <row r="524" spans="17:24">
      <c r="Q524" s="30"/>
      <c r="R524" s="26"/>
      <c r="S524" s="14"/>
      <c r="T524" s="14"/>
      <c r="V524" s="15"/>
      <c r="W524" s="16"/>
      <c r="X524" s="17"/>
    </row>
    <row r="525" spans="17:24">
      <c r="Q525" s="30"/>
      <c r="R525" s="26"/>
      <c r="S525" s="14"/>
      <c r="T525" s="14"/>
      <c r="V525" s="15"/>
      <c r="W525" s="16"/>
      <c r="X525" s="17"/>
    </row>
    <row r="526" spans="17:24">
      <c r="Q526" s="30"/>
      <c r="R526" s="26"/>
      <c r="S526" s="14"/>
      <c r="T526" s="14"/>
      <c r="V526" s="15"/>
      <c r="W526" s="16"/>
      <c r="X526" s="17"/>
    </row>
    <row r="527" spans="17:24">
      <c r="Q527" s="30"/>
      <c r="R527" s="26"/>
      <c r="S527" s="14"/>
      <c r="T527" s="14"/>
      <c r="V527" s="15"/>
      <c r="W527" s="16"/>
      <c r="X527" s="17"/>
    </row>
    <row r="528" spans="17:24">
      <c r="Q528" s="30"/>
      <c r="R528" s="26"/>
      <c r="S528" s="14"/>
      <c r="T528" s="14"/>
      <c r="V528" s="15"/>
      <c r="W528" s="16"/>
      <c r="X528" s="17"/>
    </row>
    <row r="529" spans="17:26">
      <c r="Q529" s="30"/>
      <c r="R529" s="26"/>
      <c r="S529" s="14"/>
      <c r="T529" s="14"/>
      <c r="V529" s="15"/>
      <c r="W529" s="16"/>
      <c r="X529" s="17"/>
    </row>
    <row r="530" spans="17:26">
      <c r="Q530" s="30"/>
      <c r="R530" s="26"/>
      <c r="S530" s="14"/>
      <c r="T530" s="14"/>
      <c r="V530" s="15"/>
      <c r="W530" s="16"/>
      <c r="X530" s="17"/>
    </row>
    <row r="531" spans="17:26">
      <c r="Q531" s="30"/>
      <c r="R531" s="26"/>
      <c r="S531" s="14"/>
      <c r="T531" s="14"/>
      <c r="V531" s="15"/>
      <c r="W531" s="16"/>
      <c r="X531" s="17"/>
    </row>
    <row r="532" spans="17:26">
      <c r="Q532" s="30"/>
      <c r="R532" s="26"/>
      <c r="S532" s="14"/>
      <c r="T532" s="14"/>
      <c r="V532" s="15"/>
      <c r="W532" s="16"/>
      <c r="X532" s="17"/>
    </row>
    <row r="533" spans="17:26">
      <c r="Q533" s="30"/>
      <c r="R533" s="26"/>
      <c r="S533" s="14"/>
      <c r="T533" s="14"/>
      <c r="V533" s="15"/>
      <c r="W533" s="16"/>
      <c r="X533" s="17"/>
    </row>
    <row r="534" spans="17:26">
      <c r="Q534" s="30"/>
      <c r="R534" s="26"/>
      <c r="S534" s="14"/>
      <c r="T534" s="14"/>
      <c r="V534" s="15"/>
      <c r="W534" s="16"/>
      <c r="X534" s="17"/>
    </row>
    <row r="535" spans="17:26">
      <c r="Q535" s="30"/>
      <c r="R535" s="26"/>
      <c r="S535" s="14"/>
      <c r="T535" s="14"/>
      <c r="V535" s="15"/>
      <c r="W535" s="16"/>
      <c r="X535" s="17"/>
    </row>
    <row r="536" spans="17:26">
      <c r="Q536" s="30"/>
      <c r="R536" s="26"/>
      <c r="S536" s="14"/>
      <c r="T536" s="14"/>
      <c r="V536" s="15"/>
      <c r="W536" s="16"/>
      <c r="X536" s="17"/>
    </row>
    <row r="537" spans="17:26">
      <c r="Q537" s="30"/>
      <c r="R537" s="26"/>
      <c r="S537" s="14"/>
      <c r="T537" s="14"/>
      <c r="V537" s="15"/>
      <c r="W537" s="16"/>
      <c r="X537" s="17"/>
    </row>
    <row r="538" spans="17:26">
      <c r="Q538" s="30"/>
      <c r="R538" s="26"/>
      <c r="S538" s="14"/>
      <c r="T538" s="14"/>
      <c r="V538" s="15"/>
      <c r="W538" s="16"/>
      <c r="X538" s="17"/>
    </row>
    <row r="539" spans="17:26">
      <c r="Q539" s="30"/>
      <c r="R539" s="26"/>
      <c r="S539" s="14"/>
      <c r="T539" s="14"/>
      <c r="V539" s="15"/>
      <c r="W539" s="16"/>
      <c r="X539" s="17"/>
    </row>
    <row r="540" spans="17:26">
      <c r="Q540" s="30"/>
      <c r="R540" s="26"/>
      <c r="S540" s="14"/>
      <c r="T540" s="14"/>
      <c r="V540" s="15"/>
      <c r="W540" s="16"/>
      <c r="X540" s="17"/>
    </row>
    <row r="541" spans="17:26">
      <c r="Q541" s="30"/>
      <c r="R541" s="26"/>
      <c r="S541" s="14"/>
      <c r="T541" s="14"/>
      <c r="V541" s="15"/>
      <c r="W541" s="16"/>
      <c r="X541" s="17"/>
    </row>
    <row r="542" spans="17:26">
      <c r="Q542" s="30"/>
      <c r="R542" s="26"/>
      <c r="S542" s="14"/>
      <c r="T542" s="14"/>
      <c r="V542" s="15"/>
      <c r="W542" s="16"/>
      <c r="X542" s="17"/>
    </row>
    <row r="543" spans="17:26">
      <c r="Q543" s="30"/>
      <c r="R543" s="26"/>
      <c r="S543" s="14"/>
      <c r="T543" s="14"/>
      <c r="V543" s="15"/>
      <c r="W543" s="16"/>
      <c r="X543" s="17"/>
    </row>
    <row r="544" spans="17:26">
      <c r="Q544" s="30"/>
      <c r="R544" s="26"/>
      <c r="S544" s="14"/>
      <c r="T544" s="14"/>
      <c r="V544" s="15"/>
      <c r="W544" s="16"/>
      <c r="X544" s="17"/>
      <c r="Y544" s="31"/>
      <c r="Z544" s="31"/>
    </row>
    <row r="545" spans="17:26">
      <c r="Q545" s="30"/>
      <c r="R545" s="26"/>
      <c r="S545" s="14"/>
      <c r="T545" s="14"/>
      <c r="V545" s="15"/>
      <c r="W545" s="16"/>
      <c r="X545" s="17"/>
      <c r="Y545" s="31"/>
      <c r="Z545" s="31"/>
    </row>
    <row r="546" spans="17:26">
      <c r="Q546" s="30"/>
      <c r="R546" s="26"/>
      <c r="S546" s="14"/>
      <c r="T546" s="14"/>
      <c r="V546" s="15"/>
      <c r="W546" s="16"/>
      <c r="X546" s="17"/>
      <c r="Y546" s="31"/>
      <c r="Z546" s="31"/>
    </row>
    <row r="547" spans="17:26">
      <c r="Q547" s="30"/>
      <c r="R547" s="26"/>
      <c r="S547" s="14"/>
      <c r="T547" s="14"/>
      <c r="V547" s="15"/>
      <c r="W547" s="16"/>
      <c r="X547" s="17"/>
      <c r="Y547" s="31"/>
      <c r="Z547" s="31"/>
    </row>
    <row r="548" spans="17:26">
      <c r="Q548" s="30"/>
      <c r="R548" s="26"/>
      <c r="S548" s="14"/>
      <c r="T548" s="14"/>
      <c r="V548" s="15"/>
      <c r="W548" s="16"/>
      <c r="X548" s="17"/>
      <c r="Y548" s="31"/>
      <c r="Z548" s="31"/>
    </row>
    <row r="549" spans="17:26">
      <c r="Q549" s="30"/>
      <c r="R549" s="26"/>
      <c r="S549" s="14"/>
      <c r="T549" s="14"/>
      <c r="V549" s="15"/>
      <c r="W549" s="16"/>
      <c r="X549" s="17"/>
      <c r="Y549" s="31"/>
      <c r="Z549" s="31"/>
    </row>
    <row r="550" spans="17:26">
      <c r="Q550" s="30"/>
      <c r="R550" s="26"/>
      <c r="S550" s="14"/>
      <c r="T550" s="14"/>
      <c r="V550" s="15"/>
      <c r="W550" s="16"/>
      <c r="X550" s="17"/>
      <c r="Y550" s="31"/>
      <c r="Z550" s="31"/>
    </row>
    <row r="551" spans="17:26">
      <c r="Q551" s="30"/>
      <c r="R551" s="26"/>
      <c r="S551" s="14"/>
      <c r="T551" s="14"/>
      <c r="V551" s="15"/>
      <c r="W551" s="16"/>
      <c r="X551" s="17"/>
      <c r="Y551" s="31"/>
      <c r="Z551" s="31"/>
    </row>
    <row r="552" spans="17:26">
      <c r="Q552" s="30"/>
      <c r="R552" s="26"/>
      <c r="S552" s="14"/>
      <c r="T552" s="14"/>
      <c r="V552" s="15"/>
      <c r="W552" s="16"/>
      <c r="X552" s="17"/>
      <c r="Y552" s="31"/>
      <c r="Z552" s="31"/>
    </row>
    <row r="553" spans="17:26">
      <c r="Q553" s="30"/>
      <c r="R553" s="26"/>
      <c r="S553" s="14"/>
      <c r="T553" s="14"/>
      <c r="V553" s="15"/>
      <c r="W553" s="16"/>
      <c r="X553" s="17"/>
      <c r="Y553" s="31"/>
      <c r="Z553" s="31"/>
    </row>
    <row r="554" spans="17:26">
      <c r="Q554" s="30"/>
      <c r="R554" s="26"/>
      <c r="S554" s="14"/>
      <c r="T554" s="14"/>
      <c r="V554" s="15"/>
      <c r="W554" s="16"/>
      <c r="X554" s="17"/>
      <c r="Y554" s="31"/>
      <c r="Z554" s="31"/>
    </row>
    <row r="555" spans="17:26">
      <c r="Q555" s="30"/>
      <c r="R555" s="26"/>
      <c r="S555" s="14"/>
      <c r="T555" s="14"/>
      <c r="V555" s="15"/>
      <c r="W555" s="16"/>
      <c r="X555" s="17"/>
      <c r="Y555" s="31"/>
      <c r="Z555" s="31"/>
    </row>
    <row r="556" spans="17:26">
      <c r="Q556" s="30"/>
      <c r="R556" s="26"/>
      <c r="S556" s="14"/>
      <c r="T556" s="14"/>
      <c r="V556" s="15"/>
      <c r="W556" s="16"/>
      <c r="X556" s="17"/>
    </row>
    <row r="557" spans="17:26">
      <c r="Q557" s="30"/>
      <c r="R557" s="26"/>
      <c r="S557" s="14"/>
      <c r="T557" s="14"/>
      <c r="V557" s="15"/>
      <c r="W557" s="16"/>
      <c r="X557" s="17"/>
    </row>
    <row r="558" spans="17:26">
      <c r="Q558" s="30"/>
      <c r="R558" s="26"/>
      <c r="S558" s="14"/>
      <c r="T558" s="14"/>
      <c r="V558" s="15"/>
      <c r="W558" s="16"/>
      <c r="X558" s="17"/>
    </row>
    <row r="559" spans="17:26">
      <c r="Q559" s="30"/>
      <c r="R559" s="26"/>
      <c r="S559" s="14"/>
      <c r="T559" s="14"/>
      <c r="V559" s="15"/>
      <c r="W559" s="16"/>
      <c r="X559" s="17"/>
    </row>
    <row r="560" spans="17:26">
      <c r="Q560" s="30"/>
      <c r="R560" s="26"/>
      <c r="S560" s="14"/>
      <c r="T560" s="14"/>
      <c r="V560" s="15"/>
      <c r="W560" s="16"/>
      <c r="X560" s="17"/>
    </row>
    <row r="561" spans="17:24">
      <c r="Q561" s="30"/>
      <c r="R561" s="26"/>
      <c r="S561" s="14"/>
      <c r="T561" s="14"/>
      <c r="V561" s="15"/>
      <c r="W561" s="16"/>
      <c r="X561" s="17"/>
    </row>
    <row r="562" spans="17:24">
      <c r="Q562" s="30"/>
      <c r="R562" s="26"/>
      <c r="S562" s="14"/>
      <c r="T562" s="14"/>
      <c r="V562" s="15"/>
      <c r="W562" s="16"/>
      <c r="X562" s="17"/>
    </row>
    <row r="563" spans="17:24">
      <c r="Q563" s="30"/>
      <c r="R563" s="26"/>
      <c r="S563" s="14"/>
      <c r="T563" s="14"/>
      <c r="V563" s="15"/>
      <c r="W563" s="16"/>
      <c r="X563" s="17"/>
    </row>
    <row r="564" spans="17:24">
      <c r="Q564" s="30"/>
      <c r="R564" s="26"/>
      <c r="S564" s="14"/>
      <c r="T564" s="14"/>
      <c r="V564" s="15"/>
      <c r="W564" s="16"/>
      <c r="X564" s="17"/>
    </row>
    <row r="565" spans="17:24">
      <c r="Q565" s="30"/>
      <c r="R565" s="26"/>
      <c r="S565" s="14"/>
      <c r="T565" s="14"/>
      <c r="V565" s="15"/>
      <c r="W565" s="16"/>
      <c r="X565" s="17"/>
    </row>
    <row r="566" spans="17:24">
      <c r="Q566" s="30"/>
      <c r="R566" s="26"/>
      <c r="S566" s="14"/>
      <c r="T566" s="14"/>
      <c r="V566" s="15"/>
      <c r="W566" s="16"/>
      <c r="X566" s="17"/>
    </row>
    <row r="567" spans="17:24">
      <c r="Q567" s="30"/>
      <c r="R567" s="26"/>
      <c r="S567" s="14"/>
      <c r="T567" s="14"/>
      <c r="V567" s="15"/>
      <c r="W567" s="16"/>
      <c r="X567" s="17"/>
    </row>
    <row r="568" spans="17:24">
      <c r="Q568" s="30"/>
      <c r="R568" s="26"/>
      <c r="S568" s="14"/>
      <c r="T568" s="14"/>
      <c r="V568" s="15"/>
      <c r="W568" s="16"/>
      <c r="X568" s="17"/>
    </row>
    <row r="569" spans="17:24">
      <c r="Q569" s="30"/>
      <c r="R569" s="26"/>
      <c r="S569" s="14"/>
      <c r="T569" s="14"/>
      <c r="V569" s="15"/>
      <c r="W569" s="16"/>
      <c r="X569" s="17"/>
    </row>
    <row r="570" spans="17:24">
      <c r="Q570" s="30"/>
      <c r="R570" s="26"/>
      <c r="S570" s="14"/>
      <c r="T570" s="14"/>
      <c r="V570" s="15"/>
      <c r="W570" s="16"/>
      <c r="X570" s="17"/>
    </row>
    <row r="571" spans="17:24">
      <c r="Q571" s="30"/>
      <c r="R571" s="26"/>
      <c r="S571" s="14"/>
      <c r="T571" s="14"/>
      <c r="V571" s="15"/>
      <c r="W571" s="16"/>
      <c r="X571" s="17"/>
    </row>
    <row r="572" spans="17:24">
      <c r="Q572" s="30"/>
      <c r="R572" s="26"/>
      <c r="S572" s="14"/>
      <c r="T572" s="14"/>
      <c r="V572" s="15"/>
      <c r="W572" s="16"/>
      <c r="X572" s="17"/>
    </row>
    <row r="573" spans="17:24">
      <c r="Q573" s="30"/>
      <c r="R573" s="26"/>
      <c r="S573" s="14"/>
      <c r="T573" s="14"/>
      <c r="V573" s="15"/>
      <c r="W573" s="16"/>
      <c r="X573" s="17"/>
    </row>
    <row r="574" spans="17:24">
      <c r="Q574" s="30"/>
      <c r="R574" s="26"/>
      <c r="S574" s="14"/>
      <c r="T574" s="14"/>
      <c r="V574" s="15"/>
      <c r="W574" s="16"/>
      <c r="X574" s="17"/>
    </row>
    <row r="575" spans="17:24">
      <c r="Q575" s="30"/>
      <c r="R575" s="26"/>
      <c r="S575" s="14"/>
      <c r="T575" s="14"/>
      <c r="V575" s="15"/>
      <c r="W575" s="16"/>
      <c r="X575" s="17"/>
    </row>
    <row r="576" spans="17:24">
      <c r="Q576" s="30"/>
      <c r="R576" s="26"/>
      <c r="S576" s="14"/>
      <c r="T576" s="14"/>
      <c r="V576" s="15"/>
      <c r="W576" s="16"/>
      <c r="X576" s="17"/>
    </row>
    <row r="577" spans="17:24">
      <c r="Q577" s="30"/>
      <c r="R577" s="26"/>
      <c r="S577" s="14"/>
      <c r="T577" s="14"/>
      <c r="V577" s="15"/>
      <c r="W577" s="16"/>
      <c r="X577" s="17"/>
    </row>
    <row r="578" spans="17:24">
      <c r="Q578" s="30"/>
      <c r="R578" s="26"/>
      <c r="S578" s="14"/>
      <c r="T578" s="14"/>
      <c r="V578" s="15"/>
      <c r="W578" s="16"/>
      <c r="X578" s="17"/>
    </row>
    <row r="579" spans="17:24">
      <c r="Q579" s="30"/>
      <c r="R579" s="26"/>
      <c r="S579" s="14"/>
      <c r="T579" s="14"/>
      <c r="V579" s="15"/>
      <c r="W579" s="16"/>
      <c r="X579" s="17"/>
    </row>
    <row r="580" spans="17:24">
      <c r="Q580" s="30"/>
      <c r="R580" s="26"/>
      <c r="S580" s="14"/>
      <c r="T580" s="14"/>
      <c r="V580" s="15"/>
      <c r="W580" s="16"/>
      <c r="X580" s="17"/>
    </row>
    <row r="581" spans="17:24">
      <c r="Q581" s="30"/>
      <c r="R581" s="26"/>
      <c r="S581" s="14"/>
      <c r="T581" s="14"/>
      <c r="V581" s="15"/>
      <c r="W581" s="16"/>
      <c r="X581" s="17"/>
    </row>
    <row r="582" spans="17:24">
      <c r="Q582" s="30"/>
      <c r="R582" s="26"/>
      <c r="S582" s="14"/>
      <c r="T582" s="14"/>
      <c r="V582" s="15"/>
      <c r="W582" s="16"/>
      <c r="X582" s="17"/>
    </row>
    <row r="583" spans="17:24">
      <c r="Q583" s="30"/>
      <c r="R583" s="26"/>
      <c r="S583" s="14"/>
      <c r="T583" s="14"/>
      <c r="V583" s="15"/>
      <c r="W583" s="16"/>
      <c r="X583" s="17"/>
    </row>
    <row r="584" spans="17:24">
      <c r="Q584" s="30"/>
      <c r="R584" s="26"/>
      <c r="S584" s="14"/>
      <c r="T584" s="14"/>
      <c r="V584" s="15"/>
      <c r="W584" s="16"/>
      <c r="X584" s="17"/>
    </row>
    <row r="585" spans="17:24">
      <c r="Q585" s="30"/>
      <c r="R585" s="26"/>
      <c r="S585" s="14"/>
      <c r="T585" s="14"/>
      <c r="V585" s="15"/>
      <c r="W585" s="16"/>
      <c r="X585" s="17"/>
    </row>
    <row r="586" spans="17:24">
      <c r="Q586" s="30"/>
      <c r="R586" s="26"/>
      <c r="S586" s="14"/>
      <c r="T586" s="14"/>
      <c r="V586" s="15"/>
      <c r="W586" s="16"/>
      <c r="X586" s="17"/>
    </row>
    <row r="587" spans="17:24">
      <c r="Q587" s="30"/>
      <c r="R587" s="26"/>
      <c r="S587" s="14"/>
      <c r="T587" s="14"/>
      <c r="V587" s="15"/>
      <c r="W587" s="16"/>
      <c r="X587" s="17"/>
    </row>
    <row r="588" spans="17:24">
      <c r="Q588" s="30"/>
      <c r="R588" s="26"/>
      <c r="S588" s="14"/>
      <c r="T588" s="14"/>
      <c r="V588" s="15"/>
      <c r="W588" s="16"/>
      <c r="X588" s="17"/>
    </row>
    <row r="589" spans="17:24">
      <c r="Q589" s="30"/>
      <c r="R589" s="26"/>
      <c r="S589" s="14"/>
      <c r="T589" s="14"/>
      <c r="V589" s="15"/>
      <c r="W589" s="16"/>
      <c r="X589" s="17"/>
    </row>
    <row r="590" spans="17:24">
      <c r="Q590" s="30"/>
      <c r="R590" s="26"/>
      <c r="S590" s="14"/>
      <c r="T590" s="14"/>
      <c r="V590" s="15"/>
      <c r="W590" s="16"/>
      <c r="X590" s="17"/>
    </row>
    <row r="591" spans="17:24">
      <c r="Q591" s="30"/>
      <c r="R591" s="26"/>
      <c r="S591" s="14"/>
      <c r="T591" s="14"/>
      <c r="V591" s="15"/>
      <c r="W591" s="16"/>
      <c r="X591" s="17"/>
    </row>
    <row r="592" spans="17:24">
      <c r="Q592" s="30"/>
      <c r="R592" s="26"/>
      <c r="S592" s="14"/>
      <c r="T592" s="14"/>
      <c r="V592" s="15"/>
      <c r="W592" s="16"/>
      <c r="X592" s="17"/>
    </row>
    <row r="593" spans="17:24">
      <c r="Q593" s="30"/>
      <c r="R593" s="26"/>
      <c r="S593" s="14"/>
      <c r="T593" s="14"/>
      <c r="V593" s="15"/>
      <c r="W593" s="16"/>
      <c r="X593" s="17"/>
    </row>
    <row r="594" spans="17:24">
      <c r="Q594" s="30"/>
      <c r="R594" s="26"/>
      <c r="S594" s="14"/>
      <c r="T594" s="14"/>
      <c r="V594" s="15"/>
      <c r="W594" s="16"/>
      <c r="X594" s="17"/>
    </row>
    <row r="595" spans="17:24">
      <c r="Q595" s="30"/>
      <c r="R595" s="26"/>
      <c r="S595" s="14"/>
      <c r="T595" s="14"/>
      <c r="V595" s="15"/>
      <c r="W595" s="16"/>
      <c r="X595" s="17"/>
    </row>
    <row r="596" spans="17:24">
      <c r="Q596" s="30"/>
      <c r="R596" s="26"/>
      <c r="S596" s="14"/>
      <c r="T596" s="14"/>
      <c r="V596" s="15"/>
      <c r="W596" s="16"/>
      <c r="X596" s="17"/>
    </row>
    <row r="597" spans="17:24">
      <c r="Q597" s="30"/>
      <c r="R597" s="26"/>
      <c r="S597" s="14"/>
      <c r="T597" s="14"/>
      <c r="V597" s="15"/>
      <c r="W597" s="16"/>
      <c r="X597" s="17"/>
    </row>
    <row r="598" spans="17:24">
      <c r="Q598" s="30"/>
      <c r="R598" s="26"/>
      <c r="S598" s="14"/>
      <c r="T598" s="14"/>
      <c r="V598" s="15"/>
      <c r="W598" s="16"/>
      <c r="X598" s="17"/>
    </row>
    <row r="599" spans="17:24">
      <c r="Q599" s="30"/>
      <c r="R599" s="26"/>
      <c r="S599" s="14"/>
      <c r="T599" s="14"/>
      <c r="V599" s="15"/>
      <c r="W599" s="16"/>
      <c r="X599" s="17"/>
    </row>
    <row r="600" spans="17:24">
      <c r="Q600" s="30"/>
      <c r="R600" s="26"/>
      <c r="S600" s="14"/>
      <c r="T600" s="14"/>
      <c r="V600" s="15"/>
      <c r="W600" s="16"/>
      <c r="X600" s="17"/>
    </row>
    <row r="601" spans="17:24">
      <c r="Q601" s="30"/>
      <c r="R601" s="26"/>
      <c r="S601" s="14"/>
      <c r="T601" s="14"/>
      <c r="V601" s="15"/>
      <c r="W601" s="16"/>
      <c r="X601" s="17"/>
    </row>
    <row r="602" spans="17:24">
      <c r="Q602" s="30"/>
      <c r="R602" s="26"/>
      <c r="S602" s="14"/>
      <c r="T602" s="14"/>
      <c r="V602" s="15"/>
      <c r="W602" s="16"/>
      <c r="X602" s="17"/>
    </row>
    <row r="603" spans="17:24">
      <c r="Q603" s="30"/>
      <c r="R603" s="26"/>
      <c r="S603" s="14"/>
      <c r="T603" s="14"/>
      <c r="V603" s="15"/>
      <c r="W603" s="16"/>
      <c r="X603" s="17"/>
    </row>
    <row r="604" spans="17:24">
      <c r="Q604" s="30"/>
      <c r="R604" s="26"/>
      <c r="S604" s="14"/>
      <c r="T604" s="14"/>
      <c r="V604" s="15"/>
      <c r="W604" s="16"/>
      <c r="X604" s="17"/>
    </row>
    <row r="605" spans="17:24">
      <c r="Q605" s="30"/>
      <c r="R605" s="26"/>
      <c r="S605" s="14"/>
      <c r="T605" s="14"/>
      <c r="V605" s="15"/>
      <c r="W605" s="16"/>
      <c r="X605" s="17"/>
    </row>
    <row r="606" spans="17:24">
      <c r="Q606" s="30"/>
      <c r="R606" s="26"/>
      <c r="S606" s="14"/>
      <c r="T606" s="14"/>
      <c r="V606" s="15"/>
      <c r="W606" s="16"/>
      <c r="X606" s="17"/>
    </row>
    <row r="607" spans="17:24">
      <c r="Q607" s="30"/>
      <c r="R607" s="26"/>
      <c r="S607" s="14"/>
      <c r="T607" s="14"/>
      <c r="V607" s="15"/>
      <c r="W607" s="16"/>
      <c r="X607" s="17"/>
    </row>
    <row r="608" spans="17:24">
      <c r="Q608" s="30"/>
      <c r="R608" s="26"/>
      <c r="S608" s="14"/>
      <c r="T608" s="14"/>
      <c r="V608" s="15"/>
      <c r="W608" s="16"/>
      <c r="X608" s="17"/>
    </row>
    <row r="609" spans="17:24">
      <c r="Q609" s="30"/>
      <c r="R609" s="26"/>
      <c r="S609" s="14"/>
      <c r="T609" s="14"/>
      <c r="V609" s="15"/>
      <c r="W609" s="16"/>
      <c r="X609" s="17"/>
    </row>
    <row r="610" spans="17:24">
      <c r="Q610" s="30"/>
      <c r="R610" s="26"/>
      <c r="S610" s="14"/>
      <c r="T610" s="14"/>
      <c r="V610" s="15"/>
      <c r="W610" s="16"/>
      <c r="X610" s="17"/>
    </row>
    <row r="611" spans="17:24">
      <c r="Q611" s="30"/>
      <c r="R611" s="26"/>
      <c r="S611" s="14"/>
      <c r="T611" s="14"/>
      <c r="V611" s="15"/>
      <c r="W611" s="16"/>
      <c r="X611" s="17"/>
    </row>
    <row r="612" spans="17:24">
      <c r="Q612" s="30"/>
      <c r="R612" s="26"/>
      <c r="S612" s="14"/>
      <c r="T612" s="14"/>
      <c r="V612" s="15"/>
      <c r="W612" s="16"/>
      <c r="X612" s="17"/>
    </row>
    <row r="613" spans="17:24">
      <c r="Q613" s="30"/>
      <c r="R613" s="26"/>
      <c r="S613" s="14"/>
      <c r="T613" s="14"/>
      <c r="V613" s="15"/>
      <c r="W613" s="16"/>
      <c r="X613" s="17"/>
    </row>
    <row r="614" spans="17:24">
      <c r="Q614" s="30"/>
      <c r="R614" s="26"/>
      <c r="S614" s="14"/>
      <c r="T614" s="14"/>
      <c r="V614" s="15"/>
      <c r="W614" s="16"/>
      <c r="X614" s="17"/>
    </row>
    <row r="615" spans="17:24">
      <c r="Q615" s="30"/>
      <c r="R615" s="26"/>
      <c r="S615" s="14"/>
      <c r="T615" s="14"/>
      <c r="V615" s="15"/>
      <c r="W615" s="16"/>
      <c r="X615" s="17"/>
    </row>
    <row r="616" spans="17:24">
      <c r="Q616" s="30"/>
      <c r="R616" s="26"/>
      <c r="S616" s="14"/>
      <c r="T616" s="14"/>
      <c r="V616" s="15"/>
      <c r="W616" s="16"/>
      <c r="X616" s="17"/>
    </row>
    <row r="617" spans="17:24">
      <c r="Q617" s="30"/>
      <c r="R617" s="26"/>
      <c r="S617" s="14"/>
      <c r="T617" s="14"/>
      <c r="V617" s="15"/>
      <c r="W617" s="16"/>
      <c r="X617" s="17"/>
    </row>
    <row r="618" spans="17:24">
      <c r="Q618" s="30"/>
      <c r="R618" s="26"/>
      <c r="S618" s="14"/>
      <c r="T618" s="14"/>
      <c r="V618" s="15"/>
      <c r="W618" s="16"/>
      <c r="X618" s="17"/>
    </row>
    <row r="619" spans="17:24">
      <c r="Q619" s="30"/>
      <c r="R619" s="26"/>
      <c r="S619" s="14"/>
      <c r="T619" s="14"/>
      <c r="V619" s="15"/>
      <c r="W619" s="16"/>
      <c r="X619" s="17"/>
    </row>
    <row r="620" spans="17:24">
      <c r="Q620" s="30"/>
      <c r="R620" s="26"/>
      <c r="S620" s="14"/>
      <c r="T620" s="14"/>
      <c r="V620" s="15"/>
      <c r="W620" s="16"/>
      <c r="X620" s="17"/>
    </row>
    <row r="621" spans="17:24">
      <c r="Q621" s="30"/>
      <c r="R621" s="26"/>
      <c r="S621" s="14"/>
      <c r="T621" s="14"/>
      <c r="V621" s="15"/>
      <c r="W621" s="16"/>
      <c r="X621" s="17"/>
    </row>
    <row r="622" spans="17:24">
      <c r="Q622" s="30"/>
      <c r="R622" s="26"/>
      <c r="S622" s="14"/>
      <c r="T622" s="14"/>
      <c r="V622" s="15"/>
      <c r="W622" s="16"/>
      <c r="X622" s="17"/>
    </row>
    <row r="623" spans="17:24">
      <c r="Q623" s="30"/>
      <c r="R623" s="26"/>
      <c r="S623" s="14"/>
      <c r="T623" s="14"/>
      <c r="V623" s="15"/>
      <c r="W623" s="16"/>
      <c r="X623" s="17"/>
    </row>
    <row r="624" spans="17:24">
      <c r="Q624" s="30"/>
      <c r="R624" s="26"/>
      <c r="S624" s="14"/>
      <c r="T624" s="14"/>
      <c r="V624" s="15"/>
      <c r="W624" s="16"/>
      <c r="X624" s="17"/>
    </row>
    <row r="625" spans="17:24">
      <c r="Q625" s="30"/>
      <c r="R625" s="26"/>
      <c r="S625" s="14"/>
      <c r="T625" s="14"/>
      <c r="V625" s="15"/>
      <c r="W625" s="16"/>
      <c r="X625" s="17"/>
    </row>
    <row r="626" spans="17:24">
      <c r="Q626" s="30"/>
      <c r="R626" s="26"/>
      <c r="S626" s="14"/>
      <c r="T626" s="14"/>
      <c r="V626" s="15"/>
      <c r="W626" s="16"/>
      <c r="X626" s="17"/>
    </row>
    <row r="627" spans="17:24">
      <c r="Q627" s="30"/>
      <c r="R627" s="26"/>
      <c r="S627" s="14"/>
      <c r="T627" s="14"/>
      <c r="V627" s="15"/>
      <c r="W627" s="16"/>
      <c r="X627" s="17"/>
    </row>
    <row r="628" spans="17:24">
      <c r="Q628" s="30"/>
      <c r="R628" s="26"/>
      <c r="S628" s="14"/>
      <c r="T628" s="14"/>
      <c r="V628" s="15"/>
      <c r="W628" s="16"/>
      <c r="X628" s="17"/>
    </row>
    <row r="629" spans="17:24">
      <c r="Q629" s="30"/>
      <c r="R629" s="26"/>
      <c r="S629" s="14"/>
      <c r="T629" s="14"/>
      <c r="V629" s="15"/>
      <c r="W629" s="16"/>
      <c r="X629" s="17"/>
    </row>
    <row r="630" spans="17:24">
      <c r="Q630" s="30"/>
      <c r="R630" s="26"/>
      <c r="S630" s="14"/>
      <c r="T630" s="14"/>
      <c r="V630" s="15"/>
      <c r="W630" s="16"/>
      <c r="X630" s="17"/>
    </row>
    <row r="631" spans="17:24">
      <c r="Q631" s="30"/>
      <c r="R631" s="26"/>
      <c r="S631" s="14"/>
      <c r="T631" s="14"/>
      <c r="V631" s="15"/>
      <c r="W631" s="16"/>
      <c r="X631" s="17"/>
    </row>
    <row r="632" spans="17:24">
      <c r="Q632" s="30"/>
      <c r="R632" s="26"/>
      <c r="S632" s="14"/>
      <c r="T632" s="14"/>
      <c r="V632" s="15"/>
      <c r="W632" s="16"/>
      <c r="X632" s="17"/>
    </row>
    <row r="633" spans="17:24">
      <c r="Q633" s="30"/>
      <c r="R633" s="26"/>
      <c r="S633" s="14"/>
      <c r="T633" s="14"/>
      <c r="V633" s="15"/>
      <c r="W633" s="16"/>
      <c r="X633" s="17"/>
    </row>
    <row r="634" spans="17:24">
      <c r="Q634" s="30"/>
      <c r="R634" s="26"/>
      <c r="S634" s="14"/>
      <c r="T634" s="14"/>
      <c r="V634" s="15"/>
      <c r="W634" s="16"/>
      <c r="X634" s="17"/>
    </row>
    <row r="635" spans="17:24">
      <c r="Q635" s="30"/>
      <c r="R635" s="26"/>
      <c r="S635" s="14"/>
      <c r="T635" s="14"/>
      <c r="V635" s="15"/>
      <c r="W635" s="16"/>
      <c r="X635" s="17"/>
    </row>
    <row r="636" spans="17:24">
      <c r="Q636" s="30"/>
      <c r="R636" s="26"/>
      <c r="S636" s="14"/>
      <c r="T636" s="14"/>
      <c r="V636" s="15"/>
      <c r="W636" s="16"/>
      <c r="X636" s="17"/>
    </row>
    <row r="637" spans="17:24">
      <c r="Q637" s="30"/>
      <c r="R637" s="26"/>
      <c r="S637" s="14"/>
      <c r="T637" s="14"/>
      <c r="V637" s="15"/>
      <c r="W637" s="16"/>
      <c r="X637" s="17"/>
    </row>
    <row r="638" spans="17:24">
      <c r="Q638" s="30"/>
      <c r="R638" s="26"/>
      <c r="S638" s="14"/>
      <c r="T638" s="14"/>
      <c r="V638" s="15"/>
      <c r="W638" s="16"/>
      <c r="X638" s="17"/>
    </row>
    <row r="639" spans="17:24">
      <c r="Q639" s="30"/>
      <c r="R639" s="26"/>
      <c r="S639" s="14"/>
      <c r="T639" s="14"/>
      <c r="V639" s="15"/>
      <c r="W639" s="16"/>
      <c r="X639" s="17"/>
    </row>
    <row r="640" spans="17:24">
      <c r="Q640" s="30"/>
      <c r="R640" s="26"/>
      <c r="S640" s="14"/>
      <c r="T640" s="14"/>
      <c r="V640" s="15"/>
      <c r="W640" s="16"/>
      <c r="X640" s="17"/>
    </row>
    <row r="641" spans="17:24">
      <c r="Q641" s="30"/>
      <c r="R641" s="26"/>
      <c r="S641" s="14"/>
      <c r="T641" s="14"/>
      <c r="V641" s="15"/>
      <c r="W641" s="16"/>
      <c r="X641" s="17"/>
    </row>
    <row r="642" spans="17:24">
      <c r="Q642" s="30"/>
      <c r="R642" s="26"/>
      <c r="S642" s="14"/>
      <c r="T642" s="14"/>
      <c r="V642" s="15"/>
      <c r="W642" s="16"/>
      <c r="X642" s="17"/>
    </row>
    <row r="643" spans="17:24">
      <c r="Q643" s="30"/>
      <c r="R643" s="26"/>
      <c r="S643" s="14"/>
      <c r="T643" s="14"/>
      <c r="V643" s="15"/>
      <c r="W643" s="16"/>
      <c r="X643" s="17"/>
    </row>
    <row r="644" spans="17:24">
      <c r="Q644" s="30"/>
      <c r="R644" s="26"/>
      <c r="S644" s="14"/>
      <c r="T644" s="14"/>
      <c r="V644" s="15"/>
      <c r="W644" s="16"/>
      <c r="X644" s="17"/>
    </row>
    <row r="645" spans="17:24">
      <c r="Q645" s="30"/>
      <c r="R645" s="26"/>
      <c r="S645" s="14"/>
      <c r="T645" s="14"/>
      <c r="V645" s="15"/>
      <c r="W645" s="16"/>
      <c r="X645" s="17"/>
    </row>
    <row r="646" spans="17:24">
      <c r="Q646" s="30"/>
      <c r="R646" s="26"/>
      <c r="S646" s="14"/>
      <c r="T646" s="14"/>
      <c r="V646" s="15"/>
      <c r="W646" s="16"/>
      <c r="X646" s="17"/>
    </row>
    <row r="647" spans="17:24">
      <c r="Q647" s="30"/>
      <c r="R647" s="26"/>
      <c r="S647" s="14"/>
      <c r="T647" s="14"/>
      <c r="V647" s="15"/>
      <c r="W647" s="16"/>
      <c r="X647" s="17"/>
    </row>
    <row r="648" spans="17:24">
      <c r="Q648" s="30"/>
      <c r="R648" s="26"/>
      <c r="S648" s="14"/>
      <c r="T648" s="14"/>
      <c r="V648" s="15"/>
      <c r="W648" s="16"/>
      <c r="X648" s="17"/>
    </row>
    <row r="649" spans="17:24">
      <c r="Q649" s="30"/>
      <c r="R649" s="26"/>
      <c r="S649" s="14"/>
      <c r="T649" s="14"/>
      <c r="V649" s="15"/>
      <c r="W649" s="16"/>
      <c r="X649" s="17"/>
    </row>
    <row r="650" spans="17:24">
      <c r="Q650" s="30"/>
      <c r="R650" s="26"/>
      <c r="S650" s="14"/>
      <c r="T650" s="14"/>
      <c r="V650" s="15"/>
      <c r="W650" s="16"/>
      <c r="X650" s="17"/>
    </row>
    <row r="651" spans="17:24">
      <c r="Q651" s="30"/>
      <c r="R651" s="26"/>
      <c r="S651" s="14"/>
      <c r="T651" s="14"/>
      <c r="V651" s="15"/>
      <c r="W651" s="16"/>
      <c r="X651" s="17"/>
    </row>
    <row r="652" spans="17:24">
      <c r="Q652" s="30"/>
      <c r="R652" s="26"/>
      <c r="S652" s="14"/>
      <c r="T652" s="14"/>
      <c r="V652" s="15"/>
      <c r="W652" s="16"/>
      <c r="X652" s="17"/>
    </row>
    <row r="653" spans="17:24">
      <c r="Q653" s="30"/>
      <c r="R653" s="26"/>
      <c r="S653" s="14"/>
      <c r="T653" s="14"/>
      <c r="V653" s="15"/>
      <c r="W653" s="16"/>
      <c r="X653" s="17"/>
    </row>
    <row r="654" spans="17:24">
      <c r="Q654" s="30"/>
      <c r="R654" s="26"/>
      <c r="S654" s="14"/>
      <c r="T654" s="14"/>
      <c r="V654" s="15"/>
      <c r="W654" s="16"/>
      <c r="X654" s="17"/>
    </row>
    <row r="655" spans="17:24">
      <c r="Q655" s="30"/>
      <c r="R655" s="26"/>
      <c r="S655" s="14"/>
      <c r="T655" s="14"/>
      <c r="V655" s="15"/>
      <c r="W655" s="16"/>
      <c r="X655" s="17"/>
    </row>
    <row r="656" spans="17:24">
      <c r="Q656" s="30"/>
      <c r="R656" s="26"/>
      <c r="S656" s="14"/>
      <c r="T656" s="14"/>
      <c r="V656" s="15"/>
      <c r="W656" s="16"/>
      <c r="X656" s="17"/>
    </row>
    <row r="657" spans="17:24">
      <c r="Q657" s="30"/>
      <c r="R657" s="26"/>
      <c r="S657" s="14"/>
      <c r="T657" s="14"/>
      <c r="V657" s="15"/>
      <c r="W657" s="16"/>
      <c r="X657" s="17"/>
    </row>
    <row r="658" spans="17:24">
      <c r="Q658" s="30"/>
      <c r="R658" s="26"/>
      <c r="S658" s="14"/>
      <c r="T658" s="14"/>
      <c r="V658" s="15"/>
      <c r="W658" s="16"/>
      <c r="X658" s="17"/>
    </row>
    <row r="659" spans="17:24">
      <c r="Q659" s="30"/>
      <c r="R659" s="26"/>
      <c r="S659" s="14"/>
      <c r="T659" s="14"/>
      <c r="V659" s="15"/>
      <c r="W659" s="16"/>
      <c r="X659" s="17"/>
    </row>
    <row r="660" spans="17:24">
      <c r="Q660" s="30"/>
      <c r="R660" s="26"/>
      <c r="S660" s="14"/>
      <c r="T660" s="14"/>
      <c r="V660" s="15"/>
      <c r="W660" s="16"/>
      <c r="X660" s="17"/>
    </row>
    <row r="661" spans="17:24">
      <c r="Q661" s="30"/>
      <c r="R661" s="26"/>
      <c r="S661" s="14"/>
      <c r="T661" s="14"/>
      <c r="V661" s="15"/>
      <c r="W661" s="16"/>
      <c r="X661" s="17"/>
    </row>
    <row r="662" spans="17:24">
      <c r="Q662" s="30"/>
      <c r="R662" s="26"/>
      <c r="S662" s="14"/>
      <c r="T662" s="14"/>
      <c r="V662" s="15"/>
      <c r="W662" s="16"/>
      <c r="X662" s="17"/>
    </row>
    <row r="663" spans="17:24">
      <c r="Q663" s="30"/>
      <c r="R663" s="26"/>
      <c r="S663" s="14"/>
      <c r="T663" s="14"/>
      <c r="V663" s="15"/>
      <c r="W663" s="16"/>
      <c r="X663" s="17"/>
    </row>
    <row r="664" spans="17:24">
      <c r="Q664" s="30"/>
      <c r="R664" s="26"/>
      <c r="S664" s="14"/>
      <c r="T664" s="14"/>
      <c r="V664" s="15"/>
      <c r="W664" s="16"/>
      <c r="X664" s="17"/>
    </row>
  </sheetData>
  <autoFilter ref="A1:Z664">
    <sortState ref="A2:Z664">
      <sortCondition ref="Y1:Y145"/>
      <sortCondition ref="Z1:Z138"/>
    </sortState>
  </autoFilter>
  <sortState ref="A2:Z2">
    <sortCondition ref="Y2"/>
    <sortCondition ref="Z2"/>
  </sortState>
  <phoneticPr fontId="36" type="noConversion"/>
  <conditionalFormatting sqref="J1">
    <cfRule type="duplicateValues" dxfId="60" priority="3"/>
  </conditionalFormatting>
  <conditionalFormatting sqref="C1:C2">
    <cfRule type="duplicateValues" dxfId="59" priority="2"/>
  </conditionalFormatting>
  <conditionalFormatting sqref="J2:J664">
    <cfRule type="duplicateValues" dxfId="58" priority="133"/>
  </conditionalFormatting>
  <conditionalFormatting sqref="C1:C1048576">
    <cfRule type="duplicateValues" dxfId="57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L111"/>
  <sheetViews>
    <sheetView zoomScale="85" zoomScaleNormal="85" workbookViewId="0">
      <selection activeCell="A2" sqref="A2"/>
    </sheetView>
  </sheetViews>
  <sheetFormatPr defaultRowHeight="12.75"/>
  <cols>
    <col min="1" max="1" width="10.7109375" style="7" bestFit="1" customWidth="1"/>
    <col min="2" max="2" width="10.7109375" style="7" customWidth="1"/>
    <col min="3" max="3" width="9.140625" style="7" bestFit="1" customWidth="1"/>
    <col min="4" max="4" width="12.140625" style="7" bestFit="1" customWidth="1"/>
    <col min="5" max="5" width="13" style="7" bestFit="1" customWidth="1"/>
    <col min="6" max="6" width="21.7109375" customWidth="1"/>
  </cols>
  <sheetData>
    <row r="1" spans="1:8" ht="25.5">
      <c r="A1" s="5" t="s">
        <v>23</v>
      </c>
      <c r="B1" s="6" t="s">
        <v>24</v>
      </c>
      <c r="C1" s="6" t="s">
        <v>25</v>
      </c>
      <c r="D1" s="6" t="s">
        <v>26</v>
      </c>
      <c r="E1" s="6" t="s">
        <v>27</v>
      </c>
      <c r="G1" s="1"/>
      <c r="H1" s="1"/>
    </row>
    <row r="2" spans="1:8">
      <c r="A2" s="1"/>
      <c r="B2" s="1"/>
      <c r="C2" s="1"/>
      <c r="D2" s="1"/>
      <c r="E2" s="1"/>
    </row>
    <row r="3" spans="1:8">
      <c r="A3" s="1"/>
      <c r="B3" s="1"/>
      <c r="C3" s="1"/>
      <c r="D3" s="1"/>
      <c r="E3" s="1"/>
    </row>
    <row r="4" spans="1:8">
      <c r="A4" s="1"/>
      <c r="B4" s="1"/>
      <c r="C4" s="1"/>
      <c r="D4" s="1"/>
      <c r="E4" s="1"/>
    </row>
    <row r="5" spans="1:8">
      <c r="A5" s="1"/>
      <c r="B5" s="1"/>
      <c r="C5" s="1"/>
      <c r="D5" s="1"/>
      <c r="E5" s="1"/>
      <c r="F5" s="11"/>
    </row>
    <row r="6" spans="1:8">
      <c r="A6" s="1"/>
      <c r="B6" s="1"/>
      <c r="C6" s="1"/>
      <c r="D6" s="1"/>
      <c r="E6" s="1"/>
    </row>
    <row r="7" spans="1:8">
      <c r="A7" s="1"/>
      <c r="B7" s="1"/>
      <c r="C7" s="1"/>
      <c r="D7" s="1"/>
      <c r="E7" s="1"/>
    </row>
    <row r="8" spans="1:8">
      <c r="A8" s="1"/>
      <c r="B8" s="1"/>
      <c r="C8" s="1"/>
      <c r="D8" s="1"/>
      <c r="E8" s="1"/>
    </row>
    <row r="9" spans="1:8">
      <c r="A9" s="1"/>
      <c r="B9" s="1"/>
      <c r="C9" s="1"/>
      <c r="D9" s="1"/>
      <c r="E9" s="1"/>
    </row>
    <row r="10" spans="1:8">
      <c r="A10" s="1"/>
      <c r="B10" s="1"/>
      <c r="C10" s="1"/>
      <c r="D10" s="1"/>
      <c r="E10" s="1"/>
    </row>
    <row r="11" spans="1:8">
      <c r="A11" s="1"/>
      <c r="B11" s="1"/>
      <c r="C11" s="1"/>
      <c r="D11" s="1"/>
      <c r="E11" s="1"/>
    </row>
    <row r="12" spans="1:8">
      <c r="A12" s="1"/>
      <c r="B12" s="1"/>
      <c r="C12" s="1"/>
      <c r="D12" s="1"/>
      <c r="E12" s="1"/>
    </row>
    <row r="13" spans="1:8">
      <c r="A13" s="1"/>
      <c r="B13" s="1"/>
      <c r="C13" s="1"/>
      <c r="D13" s="1"/>
      <c r="E13" s="1"/>
    </row>
    <row r="14" spans="1:8">
      <c r="A14" s="1"/>
      <c r="B14" s="1"/>
      <c r="C14" s="1"/>
      <c r="D14" s="1"/>
      <c r="E14" s="1"/>
    </row>
    <row r="15" spans="1:8">
      <c r="A15" s="1"/>
      <c r="B15" s="1"/>
      <c r="C15" s="1"/>
      <c r="D15" s="1"/>
      <c r="E15" s="1"/>
    </row>
    <row r="16" spans="1:8">
      <c r="A16" s="1"/>
      <c r="B16" s="1"/>
      <c r="C16" s="1"/>
      <c r="D16" s="1"/>
      <c r="E16" s="1"/>
    </row>
    <row r="17" spans="1:6">
      <c r="A17" s="1"/>
      <c r="B17" s="1"/>
      <c r="C17" s="1"/>
      <c r="D17" s="1"/>
      <c r="E17" s="1"/>
    </row>
    <row r="18" spans="1:6">
      <c r="A18" s="1"/>
      <c r="B18" s="1"/>
      <c r="C18" s="1"/>
      <c r="D18" s="1"/>
      <c r="E18" s="1"/>
    </row>
    <row r="19" spans="1:6">
      <c r="A19" s="1"/>
      <c r="B19" s="1"/>
      <c r="C19" s="1"/>
      <c r="D19" s="1"/>
      <c r="E19" s="1"/>
    </row>
    <row r="20" spans="1:6">
      <c r="A20" s="1"/>
      <c r="B20" s="1"/>
      <c r="C20" s="1"/>
      <c r="D20" s="1"/>
      <c r="E20" s="1"/>
    </row>
    <row r="21" spans="1:6">
      <c r="A21" s="1"/>
      <c r="B21" s="1"/>
      <c r="C21" s="1"/>
      <c r="D21" s="1"/>
      <c r="E21" s="1"/>
      <c r="F21" s="1"/>
    </row>
    <row r="22" spans="1:6">
      <c r="A22" s="1"/>
      <c r="B22" s="1"/>
      <c r="C22" s="1"/>
      <c r="D22" s="1"/>
      <c r="E22" s="1"/>
    </row>
    <row r="23" spans="1:6">
      <c r="A23" s="1"/>
      <c r="B23" s="1"/>
      <c r="C23" s="1"/>
      <c r="D23" s="1"/>
      <c r="E23" s="1"/>
    </row>
    <row r="24" spans="1:6">
      <c r="A24" s="1"/>
      <c r="B24" s="1"/>
      <c r="C24" s="1"/>
      <c r="D24" s="1"/>
      <c r="E24" s="1"/>
    </row>
    <row r="25" spans="1:6">
      <c r="A25" s="1"/>
      <c r="B25" s="1"/>
      <c r="C25" s="1"/>
      <c r="D25" s="1"/>
      <c r="E25" s="1"/>
    </row>
    <row r="26" spans="1:6">
      <c r="A26" s="1"/>
      <c r="B26" s="1"/>
      <c r="C26" s="1"/>
      <c r="D26" s="1"/>
      <c r="E26" s="1"/>
    </row>
    <row r="27" spans="1:6">
      <c r="A27" s="1"/>
      <c r="B27" s="1"/>
      <c r="C27" s="1"/>
      <c r="D27" s="1"/>
      <c r="E27" s="1"/>
    </row>
    <row r="28" spans="1:6">
      <c r="A28" s="1"/>
      <c r="B28" s="1"/>
      <c r="C28" s="1"/>
      <c r="D28" s="1"/>
      <c r="E28" s="1"/>
    </row>
    <row r="29" spans="1:6">
      <c r="A29" s="1"/>
      <c r="B29" s="1"/>
      <c r="C29" s="1"/>
      <c r="D29" s="1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6">
      <c r="A33" s="1"/>
      <c r="B33" s="1"/>
      <c r="C33" s="1"/>
      <c r="D33" s="1"/>
      <c r="E33" s="1"/>
    </row>
    <row r="34" spans="1:6">
      <c r="A34" s="1"/>
      <c r="B34" s="1"/>
      <c r="C34" s="1"/>
      <c r="D34" s="1"/>
      <c r="E34" s="1"/>
    </row>
    <row r="35" spans="1:6">
      <c r="A35" s="1"/>
      <c r="B35" s="1"/>
      <c r="C35" s="1"/>
      <c r="D35" s="1"/>
      <c r="E35" s="1"/>
    </row>
    <row r="36" spans="1:6">
      <c r="A36" s="1"/>
      <c r="B36" s="1"/>
      <c r="C36" s="1"/>
      <c r="D36" s="1"/>
      <c r="E36" s="1"/>
    </row>
    <row r="37" spans="1:6">
      <c r="A37" s="1"/>
      <c r="B37" s="1"/>
      <c r="C37" s="1"/>
      <c r="D37" s="1"/>
      <c r="E37" s="1"/>
    </row>
    <row r="38" spans="1:6">
      <c r="A38" s="1"/>
      <c r="B38" s="1"/>
      <c r="C38" s="1"/>
      <c r="D38" s="1"/>
      <c r="E38" s="1"/>
    </row>
    <row r="39" spans="1:6">
      <c r="A39" s="1"/>
      <c r="B39" s="1"/>
      <c r="C39" s="1"/>
      <c r="D39" s="1"/>
      <c r="E39" s="1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  <c r="F41" s="1"/>
    </row>
    <row r="42" spans="1:6">
      <c r="A42" s="1"/>
      <c r="B42" s="1"/>
      <c r="C42" s="1"/>
      <c r="D42" s="1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  <row r="71" spans="1:5">
      <c r="A71" s="1"/>
      <c r="B71" s="1"/>
      <c r="C71" s="1"/>
      <c r="D71" s="1"/>
      <c r="E71" s="1"/>
    </row>
    <row r="72" spans="1:5">
      <c r="A72" s="1"/>
      <c r="B72" s="1"/>
      <c r="C72" s="1"/>
      <c r="D72" s="1"/>
      <c r="E72" s="1"/>
    </row>
    <row r="73" spans="1:5">
      <c r="A73" s="1"/>
      <c r="B73" s="1"/>
      <c r="C73" s="1"/>
      <c r="D73" s="1"/>
      <c r="E73" s="1"/>
    </row>
    <row r="74" spans="1:5">
      <c r="A74" s="1"/>
      <c r="B74" s="1"/>
      <c r="C74" s="1"/>
      <c r="D74" s="1"/>
      <c r="E74" s="1"/>
    </row>
    <row r="75" spans="1:5">
      <c r="A75" s="1"/>
      <c r="B75" s="1"/>
      <c r="C75" s="1"/>
      <c r="D75" s="1"/>
      <c r="E75" s="1"/>
    </row>
    <row r="76" spans="1:5">
      <c r="A76" s="1"/>
      <c r="B76" s="1"/>
      <c r="C76" s="1"/>
      <c r="D76" s="1"/>
      <c r="E76" s="1"/>
    </row>
    <row r="77" spans="1:5">
      <c r="A77" s="1"/>
      <c r="B77" s="1"/>
      <c r="C77" s="1"/>
      <c r="D77" s="1"/>
      <c r="E77" s="1"/>
    </row>
    <row r="78" spans="1:5">
      <c r="A78" s="1"/>
      <c r="B78" s="1"/>
      <c r="C78" s="1"/>
      <c r="D78" s="1"/>
      <c r="E78" s="1"/>
    </row>
    <row r="79" spans="1:5">
      <c r="A79" s="1"/>
      <c r="B79" s="1"/>
      <c r="C79" s="1"/>
      <c r="D79" s="1"/>
      <c r="E79" s="1"/>
    </row>
    <row r="80" spans="1:5">
      <c r="A80" s="1"/>
      <c r="B80" s="1"/>
      <c r="C80" s="1"/>
      <c r="D80" s="1"/>
      <c r="E80" s="1"/>
    </row>
    <row r="81" spans="1:12">
      <c r="A81" s="1"/>
      <c r="B81" s="1"/>
      <c r="C81" s="1"/>
      <c r="D81" s="1"/>
      <c r="E81" s="1"/>
    </row>
    <row r="82" spans="1:12">
      <c r="A82" s="1"/>
      <c r="B82" s="1"/>
      <c r="C82" s="1"/>
      <c r="D82" s="1"/>
      <c r="E82" s="1"/>
    </row>
    <row r="83" spans="1:12">
      <c r="A83" s="1"/>
      <c r="B83" s="1"/>
      <c r="C83" s="1"/>
      <c r="D83" s="1"/>
      <c r="E83" s="1"/>
    </row>
    <row r="84" spans="1:12">
      <c r="A84" s="1"/>
      <c r="B84" s="1"/>
      <c r="C84" s="1"/>
      <c r="D84" s="1"/>
      <c r="E84" s="1"/>
    </row>
    <row r="85" spans="1:12">
      <c r="A85" s="1"/>
      <c r="B85" s="1"/>
      <c r="C85" s="1"/>
      <c r="D85" s="1"/>
      <c r="E85" s="1"/>
    </row>
    <row r="86" spans="1:12">
      <c r="A86" s="1"/>
      <c r="B86" s="1"/>
      <c r="C86" s="1"/>
      <c r="D86" s="1"/>
      <c r="E86" s="1"/>
    </row>
    <row r="87" spans="1:12">
      <c r="A87" s="1"/>
      <c r="B87" s="1"/>
      <c r="C87" s="1"/>
      <c r="D87" s="1"/>
      <c r="E87" s="1"/>
      <c r="K87" s="1"/>
    </row>
    <row r="88" spans="1:12">
      <c r="A88" s="1"/>
      <c r="B88" s="1"/>
      <c r="C88" s="1"/>
      <c r="D88" s="1"/>
      <c r="E88" s="1"/>
    </row>
    <row r="89" spans="1:12">
      <c r="A89" s="1"/>
      <c r="B89" s="1"/>
      <c r="C89" s="1"/>
      <c r="D89" s="1"/>
      <c r="E89" s="1"/>
    </row>
    <row r="90" spans="1:12">
      <c r="A90" s="1"/>
      <c r="B90" s="1"/>
      <c r="C90" s="1"/>
      <c r="D90" s="1"/>
      <c r="E90" s="1"/>
    </row>
    <row r="91" spans="1:12">
      <c r="A91" s="1"/>
      <c r="B91" s="1"/>
      <c r="C91" s="1"/>
      <c r="D91" s="1"/>
      <c r="E91" s="1"/>
    </row>
    <row r="92" spans="1:12">
      <c r="A92" s="1"/>
      <c r="B92" s="1"/>
      <c r="C92" s="1"/>
      <c r="D92" s="1"/>
      <c r="E92" s="1"/>
    </row>
    <row r="93" spans="1:12">
      <c r="A93" s="1"/>
      <c r="B93" s="1"/>
      <c r="C93" s="1"/>
      <c r="D93" s="1"/>
      <c r="E93" s="1"/>
    </row>
    <row r="94" spans="1:12">
      <c r="A94" s="1"/>
      <c r="B94" s="1"/>
      <c r="C94" s="1"/>
      <c r="D94" s="1"/>
      <c r="E94" s="1"/>
    </row>
    <row r="95" spans="1:12">
      <c r="A95" s="1"/>
      <c r="B95" s="1"/>
      <c r="C95" s="1"/>
      <c r="D95" s="1"/>
      <c r="E95" s="1"/>
      <c r="L95" s="1"/>
    </row>
    <row r="96" spans="1:12">
      <c r="A96" s="1"/>
      <c r="B96" s="1"/>
      <c r="C96" s="1"/>
      <c r="D96" s="1"/>
      <c r="E96" s="1"/>
    </row>
    <row r="97" spans="1:6">
      <c r="A97" s="1"/>
      <c r="B97" s="1"/>
      <c r="C97" s="1"/>
      <c r="D97" s="1"/>
      <c r="E97" s="1"/>
    </row>
    <row r="98" spans="1:6">
      <c r="A98" s="1"/>
      <c r="B98" s="1"/>
      <c r="C98" s="1"/>
      <c r="D98" s="1"/>
      <c r="E98" s="1"/>
    </row>
    <row r="99" spans="1:6">
      <c r="A99" s="1"/>
      <c r="B99" s="1"/>
      <c r="C99" s="1"/>
      <c r="D99" s="1"/>
      <c r="E99" s="1"/>
    </row>
    <row r="100" spans="1:6">
      <c r="A100" s="1"/>
      <c r="B100" s="1"/>
      <c r="C100" s="1"/>
      <c r="D100" s="1"/>
      <c r="E100" s="1"/>
    </row>
    <row r="101" spans="1:6">
      <c r="A101" s="1"/>
      <c r="B101" s="1"/>
      <c r="C101" s="1"/>
      <c r="D101" s="1"/>
      <c r="E101" s="1"/>
    </row>
    <row r="102" spans="1:6">
      <c r="A102" s="1"/>
      <c r="B102" s="1"/>
      <c r="C102" s="1"/>
      <c r="D102" s="1"/>
      <c r="E102" s="1"/>
    </row>
    <row r="103" spans="1:6">
      <c r="A103" s="1"/>
      <c r="B103" s="1"/>
      <c r="C103" s="1"/>
      <c r="D103" s="1"/>
      <c r="E103" s="1"/>
    </row>
    <row r="104" spans="1:6">
      <c r="A104" s="1"/>
      <c r="B104" s="1"/>
      <c r="C104" s="1"/>
      <c r="D104" s="1"/>
      <c r="E104" s="1"/>
    </row>
    <row r="105" spans="1:6">
      <c r="A105" s="1"/>
      <c r="B105" s="1"/>
      <c r="C105" s="1"/>
      <c r="D105" s="1"/>
      <c r="E105" s="1"/>
    </row>
    <row r="106" spans="1:6">
      <c r="A106" s="1"/>
      <c r="B106" s="1"/>
      <c r="C106" s="1"/>
      <c r="D106" s="1"/>
      <c r="E106" s="1"/>
    </row>
    <row r="107" spans="1:6">
      <c r="A107" s="1"/>
      <c r="B107" s="1"/>
      <c r="C107" s="1"/>
      <c r="D107" s="1"/>
      <c r="E107" s="1"/>
    </row>
    <row r="108" spans="1:6">
      <c r="A108" s="1"/>
      <c r="B108" s="1"/>
      <c r="C108" s="1"/>
      <c r="D108" s="1"/>
      <c r="E108" s="1"/>
    </row>
    <row r="109" spans="1:6">
      <c r="A109" s="1"/>
      <c r="B109" s="1"/>
      <c r="C109" s="1"/>
      <c r="D109" s="1"/>
      <c r="E109" s="1"/>
    </row>
    <row r="110" spans="1:6">
      <c r="B110" s="1"/>
      <c r="C110" s="1"/>
      <c r="E110" s="1"/>
      <c r="F110" s="1"/>
    </row>
    <row r="111" spans="1:6">
      <c r="B111" s="1"/>
      <c r="C111" s="1"/>
      <c r="E111" s="1"/>
      <c r="F111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MACRO</vt:lpstr>
      <vt:lpstr>Summary</vt:lpstr>
      <vt:lpstr>Blocked for payment_details</vt:lpstr>
      <vt:lpstr>EX.RATES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Szymczyk, Dymitr</dc:creator>
  <cp:lastModifiedBy>Użytkownik systemu Windows</cp:lastModifiedBy>
  <cp:revision>1</cp:revision>
  <dcterms:created xsi:type="dcterms:W3CDTF">2016-03-07T11:57:36Z</dcterms:created>
  <dcterms:modified xsi:type="dcterms:W3CDTF">2024-06-12T21:33:13Z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795725-52d2-44ec-87ed-8b3b9e2ed4e5_Enabled">
    <vt:lpwstr>true</vt:lpwstr>
  </property>
  <property fmtid="{D5CDD505-2E9C-101B-9397-08002B2CF9AE}" pid="3" name="MSIP_Label_9e795725-52d2-44ec-87ed-8b3b9e2ed4e5_SetDate">
    <vt:lpwstr>2022-02-05T19:48:29Z</vt:lpwstr>
  </property>
  <property fmtid="{D5CDD505-2E9C-101B-9397-08002B2CF9AE}" pid="4" name="MSIP_Label_9e795725-52d2-44ec-87ed-8b3b9e2ed4e5_Method">
    <vt:lpwstr>Standard</vt:lpwstr>
  </property>
  <property fmtid="{D5CDD505-2E9C-101B-9397-08002B2CF9AE}" pid="5" name="MSIP_Label_9e795725-52d2-44ec-87ed-8b3b9e2ed4e5_Name">
    <vt:lpwstr>Internal</vt:lpwstr>
  </property>
  <property fmtid="{D5CDD505-2E9C-101B-9397-08002B2CF9AE}" pid="6" name="MSIP_Label_9e795725-52d2-44ec-87ed-8b3b9e2ed4e5_SiteId">
    <vt:lpwstr>a10ba484-6331-40ee-b0ab-cb737ca60a80</vt:lpwstr>
  </property>
  <property fmtid="{D5CDD505-2E9C-101B-9397-08002B2CF9AE}" pid="7" name="MSIP_Label_9e795725-52d2-44ec-87ed-8b3b9e2ed4e5_ActionId">
    <vt:lpwstr>44abd023-e2bf-44d3-b0bf-7605a2570ea5</vt:lpwstr>
  </property>
  <property fmtid="{D5CDD505-2E9C-101B-9397-08002B2CF9AE}" pid="8" name="MSIP_Label_9e795725-52d2-44ec-87ed-8b3b9e2ed4e5_ContentBits">
    <vt:lpwstr>0</vt:lpwstr>
  </property>
</Properties>
</file>