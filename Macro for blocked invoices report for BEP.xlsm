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hidePivotFieldList="1" defaultThemeVersion="124226"/>
  <bookViews>
    <workbookView xWindow="-105" yWindow="-105" windowWidth="19425" windowHeight="11625"/>
  </bookViews>
  <sheets>
    <sheet name="MACRO" sheetId="60" r:id="rId1"/>
    <sheet name="Summary" sheetId="53" r:id="rId2"/>
    <sheet name="Blocked for payment_details" sheetId="2" r:id="rId3"/>
    <sheet name="EX.RATES" sheetId="54" r:id="rId4"/>
  </sheets>
  <definedNames>
    <definedName name="_xlnm._FilterDatabase" localSheetId="2" hidden="1">'Blocked for payment_details'!$A$1:$Z$2</definedName>
    <definedName name="_xlnm._FilterDatabase" localSheetId="3" hidden="1">EX.RATES!$A$1:$H$1</definedName>
  </definedNames>
  <calcPr calcId="145621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2" l="1"/>
  <c r="W2" i="2" s="1"/>
  <c r="X2" i="2" s="1"/>
  <c r="T2" i="2"/>
  <c r="S2" i="2"/>
  <c r="R2" i="2"/>
  <c r="Q2" i="2" s="1"/>
  <c r="J2" i="2"/>
</calcChain>
</file>

<file path=xl/comments1.xml><?xml version="1.0" encoding="utf-8"?>
<comments xmlns="http://schemas.openxmlformats.org/spreadsheetml/2006/main">
  <authors>
    <author>Kloc, Pawel</author>
  </authors>
  <commentList>
    <comment ref="P1" authorId="0">
      <text>
        <r>
          <rPr>
            <b/>
            <sz val="9"/>
            <color indexed="81"/>
            <rFont val="Tahoma"/>
            <family val="2"/>
          </rPr>
          <t>Kloc, Pawel:</t>
        </r>
        <r>
          <rPr>
            <sz val="9"/>
            <color indexed="81"/>
            <rFont val="Tahoma"/>
            <family val="2"/>
          </rPr>
          <t xml:space="preserve">
Payment terms</t>
        </r>
      </text>
    </comment>
    <comment ref="W1" authorId="0">
      <text>
        <r>
          <rPr>
            <b/>
            <sz val="9"/>
            <color indexed="81"/>
            <rFont val="Tahoma"/>
            <family val="2"/>
          </rPr>
          <t>Kloc, Pawel:</t>
        </r>
        <r>
          <rPr>
            <sz val="9"/>
            <color indexed="81"/>
            <rFont val="Tahoma"/>
            <family val="2"/>
          </rPr>
          <t xml:space="preserve">
Please copy and paste as values</t>
        </r>
      </text>
    </comment>
  </commentList>
</comments>
</file>

<file path=xl/sharedStrings.xml><?xml version="1.0" encoding="utf-8"?>
<sst xmlns="http://schemas.openxmlformats.org/spreadsheetml/2006/main" count="51" uniqueCount="42">
  <si>
    <t>Invoice Item</t>
  </si>
  <si>
    <t>Purchasing Document</t>
  </si>
  <si>
    <t>Plant</t>
  </si>
  <si>
    <t>Owner</t>
  </si>
  <si>
    <t>Aging</t>
  </si>
  <si>
    <t>Aging days</t>
  </si>
  <si>
    <t>Comments</t>
  </si>
  <si>
    <t>Invoicing Party</t>
  </si>
  <si>
    <t>Invoice Document No.</t>
  </si>
  <si>
    <t>Amount</t>
  </si>
  <si>
    <t>Currency</t>
  </si>
  <si>
    <t>Posting Date</t>
  </si>
  <si>
    <t>Material</t>
  </si>
  <si>
    <t>Difference Quantity</t>
  </si>
  <si>
    <t>Difference Value</t>
  </si>
  <si>
    <t>Baseline Payment Dte</t>
  </si>
  <si>
    <t>Days 1</t>
  </si>
  <si>
    <t>Due date</t>
  </si>
  <si>
    <t>Quanity check</t>
  </si>
  <si>
    <t>Price check</t>
  </si>
  <si>
    <t>Payment block reason</t>
  </si>
  <si>
    <t>Count of Invoice Document No.</t>
  </si>
  <si>
    <t>R-block reason</t>
  </si>
  <si>
    <t>Invoices on hold per exception reason</t>
  </si>
  <si>
    <t>Exchange Rate Type</t>
  </si>
  <si>
    <t>From currency</t>
  </si>
  <si>
    <t>To-currency</t>
  </si>
  <si>
    <t>Valid from</t>
  </si>
  <si>
    <t>Exchange Rate</t>
  </si>
  <si>
    <t>Amount in USD</t>
  </si>
  <si>
    <t>FX rate</t>
  </si>
  <si>
    <t>Sum of Amount in USD</t>
  </si>
  <si>
    <t xml:space="preserve">PO Item </t>
  </si>
  <si>
    <t>PO+Item</t>
  </si>
  <si>
    <t>[6] &gt;360 days</t>
  </si>
  <si>
    <t>Invoices on hold per aging</t>
  </si>
  <si>
    <t>Cocd</t>
  </si>
  <si>
    <t>macro for blocked invoices report</t>
  </si>
  <si>
    <t>Razem: Sum of Amount in USD</t>
  </si>
  <si>
    <t>Razem: Count of Invoice Document No.</t>
  </si>
  <si>
    <t>(puste)</t>
  </si>
  <si>
    <t>Suma końcowa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</si>
</sst>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\-* #,##0.00_-;_-* &quot;-&quot;??_-;_-@_-"/>
    <numFmt numFmtId="166" formatCode="_-* #,##0_-;\-* #,##0_-;_-* &quot;-&quot;??_-;_-@_-"/>
    <numFmt numFmtId="167" formatCode="#,##0.0000000"/>
  </numFmts>
  <fonts count="4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0"/>
      <name val="Arial"/>
      <family val="2"/>
    </font>
    <font>
      <u/>
      <sz val="10"/>
      <color theme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charset val="134"/>
      <scheme val="minor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b/>
      <sz val="16"/>
      <color theme="1"/>
      <name val="Calibri"/>
      <family val="2"/>
      <scheme val="minor"/>
    </font>
    <font>
      <sz val="9"/>
      <color theme="0"/>
      <name val="Arial"/>
      <family val="2"/>
      <charset val="238"/>
    </font>
    <font>
      <sz val="10"/>
      <color theme="0"/>
      <name val="Arial"/>
      <family val="2"/>
      <charset val="238"/>
    </font>
  </fonts>
  <fills count="4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15">
    <xf numFmtId="0" fontId="0" fillId="0" borderId="0"/>
    <xf numFmtId="0" fontId="12" fillId="0" borderId="0"/>
    <xf numFmtId="0" fontId="10" fillId="0" borderId="0"/>
    <xf numFmtId="0" fontId="11" fillId="0" borderId="0"/>
    <xf numFmtId="0" fontId="9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11" fillId="0" borderId="0"/>
    <xf numFmtId="0" fontId="11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5" applyNumberFormat="0" applyAlignment="0" applyProtection="0"/>
    <xf numFmtId="0" fontId="25" fillId="8" borderId="6" applyNumberFormat="0" applyAlignment="0" applyProtection="0"/>
    <xf numFmtId="0" fontId="26" fillId="8" borderId="5" applyNumberFormat="0" applyAlignment="0" applyProtection="0"/>
    <xf numFmtId="0" fontId="27" fillId="0" borderId="7" applyNumberFormat="0" applyFill="0" applyAlignment="0" applyProtection="0"/>
    <xf numFmtId="0" fontId="28" fillId="9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0" applyNumberFormat="0" applyFill="0" applyAlignment="0" applyProtection="0"/>
    <xf numFmtId="0" fontId="3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2" fillId="34" borderId="0" applyNumberFormat="0" applyBorder="0" applyAlignment="0" applyProtection="0"/>
    <xf numFmtId="0" fontId="3" fillId="0" borderId="0"/>
    <xf numFmtId="0" fontId="11" fillId="0" borderId="0"/>
    <xf numFmtId="0" fontId="3" fillId="10" borderId="9" applyNumberFormat="0" applyFont="0" applyAlignment="0" applyProtection="0"/>
    <xf numFmtId="0" fontId="11" fillId="0" borderId="0"/>
    <xf numFmtId="164" fontId="11" fillId="0" borderId="0" applyFont="0" applyFill="0" applyBorder="0" applyAlignment="0" applyProtection="0"/>
    <xf numFmtId="0" fontId="3" fillId="0" borderId="0"/>
    <xf numFmtId="164" fontId="11" fillId="0" borderId="0" applyFont="0" applyFill="0" applyBorder="0" applyAlignment="0" applyProtection="0"/>
    <xf numFmtId="0" fontId="33" fillId="0" borderId="0"/>
    <xf numFmtId="0" fontId="3" fillId="0" borderId="0"/>
    <xf numFmtId="165" fontId="11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12" fillId="0" borderId="0"/>
    <xf numFmtId="165" fontId="12" fillId="0" borderId="0" applyFont="0" applyFill="0" applyBorder="0" applyAlignment="0" applyProtection="0"/>
    <xf numFmtId="0" fontId="11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6">
    <xf numFmtId="0" fontId="0" fillId="0" borderId="0" xfId="0" applyAlignment="1">
      <alignment vertical="top"/>
    </xf>
    <xf numFmtId="0" fontId="0" fillId="0" borderId="0" xfId="0" applyAlignment="1">
      <alignment vertical="top"/>
    </xf>
    <xf numFmtId="0" fontId="35" fillId="0" borderId="0" xfId="0" applyFont="1" applyAlignment="1">
      <alignment vertical="top"/>
    </xf>
    <xf numFmtId="0" fontId="0" fillId="0" borderId="11" xfId="0" applyBorder="1" applyAlignment="1">
      <alignment vertical="top"/>
    </xf>
    <xf numFmtId="0" fontId="0" fillId="0" borderId="11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/>
    <xf numFmtId="166" fontId="0" fillId="0" borderId="11" xfId="0" applyNumberFormat="1" applyBorder="1" applyAlignment="1">
      <alignment vertical="top"/>
    </xf>
    <xf numFmtId="0" fontId="0" fillId="0" borderId="0" xfId="0" applyFill="1" applyAlignment="1">
      <alignment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18" fontId="16" fillId="2" borderId="1" xfId="0" applyNumberFormat="1" applyFont="1" applyFill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4" fontId="16" fillId="2" borderId="1" xfId="0" applyNumberFormat="1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 vertical="center" wrapText="1"/>
    </xf>
    <xf numFmtId="0" fontId="16" fillId="39" borderId="1" xfId="0" applyFont="1" applyFill="1" applyBorder="1" applyAlignment="1">
      <alignment horizontal="center" vertical="center"/>
    </xf>
    <xf numFmtId="0" fontId="16" fillId="38" borderId="1" xfId="0" applyFont="1" applyFill="1" applyBorder="1" applyAlignment="1">
      <alignment horizontal="center" vertical="center"/>
    </xf>
    <xf numFmtId="166" fontId="16" fillId="3" borderId="1" xfId="12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16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2" fontId="0" fillId="0" borderId="0" xfId="12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37" borderId="11" xfId="0" applyFont="1" applyFill="1" applyBorder="1" applyAlignment="1">
      <alignment vertical="top"/>
    </xf>
    <xf numFmtId="0" fontId="40" fillId="37" borderId="12" xfId="0" applyFont="1" applyFill="1" applyBorder="1" applyAlignment="1">
      <alignment vertical="top"/>
    </xf>
    <xf numFmtId="0" fontId="40" fillId="37" borderId="13" xfId="0" applyFont="1" applyFill="1" applyBorder="1" applyAlignment="1">
      <alignment vertical="top"/>
    </xf>
    <xf numFmtId="0" fontId="40" fillId="37" borderId="14" xfId="0" applyFont="1" applyFill="1" applyBorder="1" applyAlignment="1">
      <alignment horizontal="center" vertical="center" wrapText="1"/>
    </xf>
    <xf numFmtId="0" fontId="40" fillId="37" borderId="15" xfId="0" applyFont="1" applyFill="1" applyBorder="1" applyAlignment="1">
      <alignment horizontal="center" vertical="center" wrapText="1"/>
    </xf>
    <xf numFmtId="166" fontId="41" fillId="37" borderId="11" xfId="0" applyNumberFormat="1" applyFont="1" applyFill="1" applyBorder="1" applyAlignment="1">
      <alignment vertical="top"/>
    </xf>
    <xf numFmtId="0" fontId="41" fillId="37" borderId="11" xfId="0" applyFont="1" applyFill="1" applyBorder="1" applyAlignment="1">
      <alignment horizontal="left" vertical="top"/>
    </xf>
    <xf numFmtId="0" fontId="41" fillId="37" borderId="11" xfId="0" applyFont="1" applyFill="1" applyBorder="1" applyAlignment="1">
      <alignment vertical="top"/>
    </xf>
    <xf numFmtId="0" fontId="41" fillId="37" borderId="11" xfId="0" applyFont="1" applyFill="1" applyBorder="1" applyAlignment="1">
      <alignment vertical="top" wrapText="1"/>
    </xf>
    <xf numFmtId="0" fontId="41" fillId="37" borderId="11" xfId="0" applyNumberFormat="1" applyFont="1" applyFill="1" applyBorder="1" applyAlignment="1">
      <alignment vertical="top"/>
    </xf>
    <xf numFmtId="0" fontId="39" fillId="36" borderId="16" xfId="0" applyFont="1" applyFill="1" applyBorder="1" applyAlignment="1">
      <alignment horizontal="center" vertical="center"/>
    </xf>
    <xf numFmtId="0" fontId="39" fillId="36" borderId="17" xfId="0" applyFont="1" applyFill="1" applyBorder="1" applyAlignment="1">
      <alignment horizontal="center" vertical="center"/>
    </xf>
    <xf numFmtId="0" fontId="39" fillId="36" borderId="18" xfId="0" applyFont="1" applyFill="1" applyBorder="1" applyAlignment="1">
      <alignment horizontal="center" vertical="center"/>
    </xf>
  </cellXfs>
  <cellStyles count="315">
    <cellStyle name="20% - akcent 1" xfId="88" builtinId="30" customBuiltin="1"/>
    <cellStyle name="20% - akcent 2" xfId="92" builtinId="34" customBuiltin="1"/>
    <cellStyle name="20% - akcent 3" xfId="96" builtinId="38" customBuiltin="1"/>
    <cellStyle name="20% - akcent 4" xfId="100" builtinId="42" customBuiltin="1"/>
    <cellStyle name="20% - akcent 5" xfId="104" builtinId="46" customBuiltin="1"/>
    <cellStyle name="20% - akcent 6" xfId="108" builtinId="50" customBuiltin="1"/>
    <cellStyle name="40% - akcent 1" xfId="89" builtinId="31" customBuiltin="1"/>
    <cellStyle name="40% - akcent 2" xfId="93" builtinId="35" customBuiltin="1"/>
    <cellStyle name="40% - akcent 3" xfId="97" builtinId="39" customBuiltin="1"/>
    <cellStyle name="40% - akcent 4" xfId="101" builtinId="43" customBuiltin="1"/>
    <cellStyle name="40% - akcent 5" xfId="105" builtinId="47" customBuiltin="1"/>
    <cellStyle name="40% - akcent 6" xfId="109" builtinId="51" customBuiltin="1"/>
    <cellStyle name="60% - akcent 1" xfId="90" builtinId="32" customBuiltin="1"/>
    <cellStyle name="60% - akcent 2" xfId="94" builtinId="36" customBuiltin="1"/>
    <cellStyle name="60% - akcent 3" xfId="98" builtinId="40" customBuiltin="1"/>
    <cellStyle name="60% - akcent 4" xfId="102" builtinId="44" customBuiltin="1"/>
    <cellStyle name="60% - akcent 5" xfId="106" builtinId="48" customBuiltin="1"/>
    <cellStyle name="60% - akcent 6" xfId="110" builtinId="52" customBuiltin="1"/>
    <cellStyle name="Akcent 1" xfId="87" builtinId="29" customBuiltin="1"/>
    <cellStyle name="Akcent 2" xfId="91" builtinId="33" customBuiltin="1"/>
    <cellStyle name="Akcent 3" xfId="95" builtinId="37" customBuiltin="1"/>
    <cellStyle name="Akcent 4" xfId="99" builtinId="41" customBuiltin="1"/>
    <cellStyle name="Akcent 5" xfId="103" builtinId="45" customBuiltin="1"/>
    <cellStyle name="Akcent 6" xfId="107" builtinId="49" customBuiltin="1"/>
    <cellStyle name="Comma 2" xfId="117"/>
    <cellStyle name="Comma 3" xfId="115"/>
    <cellStyle name="Comma 4" xfId="120"/>
    <cellStyle name="Comma 4 2" xfId="123"/>
    <cellStyle name="Dane wejściowe" xfId="79" builtinId="20" customBuiltin="1"/>
    <cellStyle name="Dane wyjściowe" xfId="80" builtinId="21" customBuiltin="1"/>
    <cellStyle name="Dobre" xfId="76" builtinId="26" customBuiltin="1"/>
    <cellStyle name="Hyperlink 2" xfId="54"/>
    <cellStyle name="Hyperlink 2 2" xfId="169"/>
    <cellStyle name="Hyperlink 2 3" xfId="121"/>
    <cellStyle name="Komórka połączona" xfId="82" builtinId="24" customBuiltin="1"/>
    <cellStyle name="Komórka zaznaczona" xfId="83" builtinId="23" customBuiltin="1"/>
    <cellStyle name="Nagłówek 1" xfId="72" builtinId="16" customBuiltin="1"/>
    <cellStyle name="Nagłówek 2" xfId="73" builtinId="17" customBuiltin="1"/>
    <cellStyle name="Nagłówek 3" xfId="74" builtinId="18" customBuiltin="1"/>
    <cellStyle name="Nagłówek 4" xfId="75" builtinId="19" customBuiltin="1"/>
    <cellStyle name="Neutralne" xfId="78" builtinId="28" customBuiltin="1"/>
    <cellStyle name="Normal 2" xfId="3"/>
    <cellStyle name="Normal 2 2" xfId="1"/>
    <cellStyle name="Normal 2 2 2" xfId="125"/>
    <cellStyle name="Normal 2 2 3" xfId="118"/>
    <cellStyle name="Normal 2 3" xfId="5"/>
    <cellStyle name="Normal 2 3 2" xfId="6"/>
    <cellStyle name="Normal 2 3 2 2" xfId="14"/>
    <cellStyle name="Normal 2 4" xfId="7"/>
    <cellStyle name="Normal 2 5" xfId="191"/>
    <cellStyle name="Normal 3" xfId="2"/>
    <cellStyle name="Normal 3 2" xfId="10"/>
    <cellStyle name="Normal 3 2 2" xfId="17"/>
    <cellStyle name="Normal 3 2 2 2" xfId="32"/>
    <cellStyle name="Normal 3 2 2 2 2" xfId="63"/>
    <cellStyle name="Normal 3 2 2 2 2 2" xfId="178"/>
    <cellStyle name="Normal 3 2 2 2 2 3" xfId="244"/>
    <cellStyle name="Normal 3 2 2 2 2 4" xfId="308"/>
    <cellStyle name="Normal 3 2 2 2 3" xfId="147"/>
    <cellStyle name="Normal 3 2 2 2 4" xfId="214"/>
    <cellStyle name="Normal 3 2 2 2 5" xfId="278"/>
    <cellStyle name="Normal 3 2 2 3" xfId="47"/>
    <cellStyle name="Normal 3 2 2 3 2" xfId="162"/>
    <cellStyle name="Normal 3 2 2 3 3" xfId="229"/>
    <cellStyle name="Normal 3 2 2 3 4" xfId="293"/>
    <cellStyle name="Normal 3 2 2 4" xfId="132"/>
    <cellStyle name="Normal 3 2 2 5" xfId="199"/>
    <cellStyle name="Normal 3 2 2 6" xfId="263"/>
    <cellStyle name="Normal 3 2 3" xfId="22"/>
    <cellStyle name="Normal 3 2 3 2" xfId="37"/>
    <cellStyle name="Normal 3 2 3 2 2" xfId="68"/>
    <cellStyle name="Normal 3 2 3 2 2 2" xfId="183"/>
    <cellStyle name="Normal 3 2 3 2 2 3" xfId="249"/>
    <cellStyle name="Normal 3 2 3 2 2 4" xfId="313"/>
    <cellStyle name="Normal 3 2 3 2 3" xfId="152"/>
    <cellStyle name="Normal 3 2 3 2 4" xfId="219"/>
    <cellStyle name="Normal 3 2 3 2 5" xfId="283"/>
    <cellStyle name="Normal 3 2 3 3" xfId="52"/>
    <cellStyle name="Normal 3 2 3 3 2" xfId="167"/>
    <cellStyle name="Normal 3 2 3 3 3" xfId="234"/>
    <cellStyle name="Normal 3 2 3 3 4" xfId="298"/>
    <cellStyle name="Normal 3 2 3 4" xfId="137"/>
    <cellStyle name="Normal 3 2 3 5" xfId="204"/>
    <cellStyle name="Normal 3 2 3 6" xfId="268"/>
    <cellStyle name="Normal 3 2 4" xfId="27"/>
    <cellStyle name="Normal 3 2 4 2" xfId="58"/>
    <cellStyle name="Normal 3 2 4 2 2" xfId="173"/>
    <cellStyle name="Normal 3 2 4 2 3" xfId="239"/>
    <cellStyle name="Normal 3 2 4 2 4" xfId="303"/>
    <cellStyle name="Normal 3 2 4 3" xfId="142"/>
    <cellStyle name="Normal 3 2 4 4" xfId="209"/>
    <cellStyle name="Normal 3 2 4 5" xfId="273"/>
    <cellStyle name="Normal 3 2 5" xfId="42"/>
    <cellStyle name="Normal 3 2 5 2" xfId="157"/>
    <cellStyle name="Normal 3 2 5 3" xfId="224"/>
    <cellStyle name="Normal 3 2 5 4" xfId="288"/>
    <cellStyle name="Normal 3 2 6" xfId="127"/>
    <cellStyle name="Normal 3 2 7" xfId="194"/>
    <cellStyle name="Normal 3 2 8" xfId="258"/>
    <cellStyle name="Normal 3 3" xfId="12"/>
    <cellStyle name="Normal 3 3 2" xfId="29"/>
    <cellStyle name="Normal 3 3 2 2" xfId="60"/>
    <cellStyle name="Normal 3 3 2 2 2" xfId="175"/>
    <cellStyle name="Normal 3 3 2 2 3" xfId="241"/>
    <cellStyle name="Normal 3 3 2 2 4" xfId="305"/>
    <cellStyle name="Normal 3 3 2 3" xfId="144"/>
    <cellStyle name="Normal 3 3 2 4" xfId="211"/>
    <cellStyle name="Normal 3 3 2 5" xfId="275"/>
    <cellStyle name="Normal 3 3 3" xfId="44"/>
    <cellStyle name="Normal 3 3 3 2" xfId="159"/>
    <cellStyle name="Normal 3 3 3 3" xfId="226"/>
    <cellStyle name="Normal 3 3 3 4" xfId="290"/>
    <cellStyle name="Normal 3 3 4" xfId="129"/>
    <cellStyle name="Normal 3 3 5" xfId="196"/>
    <cellStyle name="Normal 3 3 6" xfId="260"/>
    <cellStyle name="Normal 3 4" xfId="19"/>
    <cellStyle name="Normal 3 4 2" xfId="34"/>
    <cellStyle name="Normal 3 4 2 2" xfId="65"/>
    <cellStyle name="Normal 3 4 2 2 2" xfId="180"/>
    <cellStyle name="Normal 3 4 2 2 3" xfId="246"/>
    <cellStyle name="Normal 3 4 2 2 4" xfId="310"/>
    <cellStyle name="Normal 3 4 2 3" xfId="149"/>
    <cellStyle name="Normal 3 4 2 4" xfId="216"/>
    <cellStyle name="Normal 3 4 2 5" xfId="280"/>
    <cellStyle name="Normal 3 4 3" xfId="49"/>
    <cellStyle name="Normal 3 4 3 2" xfId="164"/>
    <cellStyle name="Normal 3 4 3 3" xfId="231"/>
    <cellStyle name="Normal 3 4 3 4" xfId="295"/>
    <cellStyle name="Normal 3 4 4" xfId="134"/>
    <cellStyle name="Normal 3 4 5" xfId="201"/>
    <cellStyle name="Normal 3 4 6" xfId="265"/>
    <cellStyle name="Normal 3 5" xfId="24"/>
    <cellStyle name="Normal 3 5 2" xfId="55"/>
    <cellStyle name="Normal 3 5 2 2" xfId="170"/>
    <cellStyle name="Normal 3 5 2 3" xfId="236"/>
    <cellStyle name="Normal 3 5 2 4" xfId="300"/>
    <cellStyle name="Normal 3 5 3" xfId="139"/>
    <cellStyle name="Normal 3 5 4" xfId="206"/>
    <cellStyle name="Normal 3 5 5" xfId="270"/>
    <cellStyle name="Normal 3 6" xfId="39"/>
    <cellStyle name="Normal 3 6 2" xfId="154"/>
    <cellStyle name="Normal 3 6 3" xfId="221"/>
    <cellStyle name="Normal 3 6 4" xfId="285"/>
    <cellStyle name="Normal 3 7" xfId="116"/>
    <cellStyle name="Normal 3 7 2" xfId="190"/>
    <cellStyle name="Normal 3 7 3" xfId="255"/>
    <cellStyle name="Normal 3 8" xfId="185"/>
    <cellStyle name="Normal 3 9" xfId="251"/>
    <cellStyle name="Normal 4" xfId="4"/>
    <cellStyle name="Normal 4 2" xfId="11"/>
    <cellStyle name="Normal 4 2 2" xfId="18"/>
    <cellStyle name="Normal 4 2 2 2" xfId="33"/>
    <cellStyle name="Normal 4 2 2 2 2" xfId="64"/>
    <cellStyle name="Normal 4 2 2 2 2 2" xfId="179"/>
    <cellStyle name="Normal 4 2 2 2 2 3" xfId="245"/>
    <cellStyle name="Normal 4 2 2 2 2 4" xfId="309"/>
    <cellStyle name="Normal 4 2 2 2 3" xfId="148"/>
    <cellStyle name="Normal 4 2 2 2 4" xfId="215"/>
    <cellStyle name="Normal 4 2 2 2 5" xfId="279"/>
    <cellStyle name="Normal 4 2 2 3" xfId="48"/>
    <cellStyle name="Normal 4 2 2 3 2" xfId="163"/>
    <cellStyle name="Normal 4 2 2 3 3" xfId="230"/>
    <cellStyle name="Normal 4 2 2 3 4" xfId="294"/>
    <cellStyle name="Normal 4 2 2 4" xfId="133"/>
    <cellStyle name="Normal 4 2 2 5" xfId="200"/>
    <cellStyle name="Normal 4 2 2 6" xfId="264"/>
    <cellStyle name="Normal 4 2 3" xfId="23"/>
    <cellStyle name="Normal 4 2 3 2" xfId="38"/>
    <cellStyle name="Normal 4 2 3 2 2" xfId="69"/>
    <cellStyle name="Normal 4 2 3 2 2 2" xfId="184"/>
    <cellStyle name="Normal 4 2 3 2 2 3" xfId="250"/>
    <cellStyle name="Normal 4 2 3 2 2 4" xfId="314"/>
    <cellStyle name="Normal 4 2 3 2 3" xfId="153"/>
    <cellStyle name="Normal 4 2 3 2 4" xfId="220"/>
    <cellStyle name="Normal 4 2 3 2 5" xfId="284"/>
    <cellStyle name="Normal 4 2 3 3" xfId="53"/>
    <cellStyle name="Normal 4 2 3 3 2" xfId="168"/>
    <cellStyle name="Normal 4 2 3 3 3" xfId="235"/>
    <cellStyle name="Normal 4 2 3 3 4" xfId="299"/>
    <cellStyle name="Normal 4 2 3 4" xfId="138"/>
    <cellStyle name="Normal 4 2 3 5" xfId="205"/>
    <cellStyle name="Normal 4 2 3 6" xfId="269"/>
    <cellStyle name="Normal 4 2 4" xfId="28"/>
    <cellStyle name="Normal 4 2 4 2" xfId="59"/>
    <cellStyle name="Normal 4 2 4 2 2" xfId="174"/>
    <cellStyle name="Normal 4 2 4 2 3" xfId="240"/>
    <cellStyle name="Normal 4 2 4 2 4" xfId="304"/>
    <cellStyle name="Normal 4 2 4 3" xfId="143"/>
    <cellStyle name="Normal 4 2 4 4" xfId="210"/>
    <cellStyle name="Normal 4 2 4 5" xfId="274"/>
    <cellStyle name="Normal 4 2 5" xfId="43"/>
    <cellStyle name="Normal 4 2 5 2" xfId="158"/>
    <cellStyle name="Normal 4 2 5 3" xfId="225"/>
    <cellStyle name="Normal 4 2 5 4" xfId="289"/>
    <cellStyle name="Normal 4 2 6" xfId="128"/>
    <cellStyle name="Normal 4 2 7" xfId="195"/>
    <cellStyle name="Normal 4 2 8" xfId="259"/>
    <cellStyle name="Normal 4 3" xfId="13"/>
    <cellStyle name="Normal 4 3 2" xfId="30"/>
    <cellStyle name="Normal 4 3 2 2" xfId="61"/>
    <cellStyle name="Normal 4 3 2 2 2" xfId="176"/>
    <cellStyle name="Normal 4 3 2 2 3" xfId="242"/>
    <cellStyle name="Normal 4 3 2 2 4" xfId="306"/>
    <cellStyle name="Normal 4 3 2 3" xfId="145"/>
    <cellStyle name="Normal 4 3 2 4" xfId="212"/>
    <cellStyle name="Normal 4 3 2 5" xfId="276"/>
    <cellStyle name="Normal 4 3 3" xfId="45"/>
    <cellStyle name="Normal 4 3 3 2" xfId="160"/>
    <cellStyle name="Normal 4 3 3 3" xfId="227"/>
    <cellStyle name="Normal 4 3 3 4" xfId="291"/>
    <cellStyle name="Normal 4 3 4" xfId="130"/>
    <cellStyle name="Normal 4 3 5" xfId="197"/>
    <cellStyle name="Normal 4 3 6" xfId="261"/>
    <cellStyle name="Normal 4 4" xfId="20"/>
    <cellStyle name="Normal 4 4 2" xfId="35"/>
    <cellStyle name="Normal 4 4 2 2" xfId="66"/>
    <cellStyle name="Normal 4 4 2 2 2" xfId="181"/>
    <cellStyle name="Normal 4 4 2 2 3" xfId="247"/>
    <cellStyle name="Normal 4 4 2 2 4" xfId="311"/>
    <cellStyle name="Normal 4 4 2 3" xfId="150"/>
    <cellStyle name="Normal 4 4 2 4" xfId="217"/>
    <cellStyle name="Normal 4 4 2 5" xfId="281"/>
    <cellStyle name="Normal 4 4 3" xfId="50"/>
    <cellStyle name="Normal 4 4 3 2" xfId="165"/>
    <cellStyle name="Normal 4 4 3 3" xfId="232"/>
    <cellStyle name="Normal 4 4 3 4" xfId="296"/>
    <cellStyle name="Normal 4 4 4" xfId="135"/>
    <cellStyle name="Normal 4 4 5" xfId="202"/>
    <cellStyle name="Normal 4 4 6" xfId="266"/>
    <cellStyle name="Normal 4 5" xfId="25"/>
    <cellStyle name="Normal 4 5 2" xfId="56"/>
    <cellStyle name="Normal 4 5 2 2" xfId="171"/>
    <cellStyle name="Normal 4 5 2 3" xfId="237"/>
    <cellStyle name="Normal 4 5 2 4" xfId="301"/>
    <cellStyle name="Normal 4 5 3" xfId="140"/>
    <cellStyle name="Normal 4 5 4" xfId="207"/>
    <cellStyle name="Normal 4 5 5" xfId="271"/>
    <cellStyle name="Normal 4 6" xfId="40"/>
    <cellStyle name="Normal 4 6 2" xfId="155"/>
    <cellStyle name="Normal 4 6 3" xfId="222"/>
    <cellStyle name="Normal 4 6 4" xfId="286"/>
    <cellStyle name="Normal 4 7" xfId="119"/>
    <cellStyle name="Normal 4 7 2" xfId="192"/>
    <cellStyle name="Normal 4 7 3" xfId="256"/>
    <cellStyle name="Normal 4 8" xfId="186"/>
    <cellStyle name="Normal 4 9" xfId="252"/>
    <cellStyle name="Normal 5" xfId="9"/>
    <cellStyle name="Normal 5 2" xfId="16"/>
    <cellStyle name="Normal 5 2 2" xfId="31"/>
    <cellStyle name="Normal 5 2 2 2" xfId="62"/>
    <cellStyle name="Normal 5 2 2 2 2" xfId="177"/>
    <cellStyle name="Normal 5 2 2 2 3" xfId="243"/>
    <cellStyle name="Normal 5 2 2 2 4" xfId="307"/>
    <cellStyle name="Normal 5 2 2 3" xfId="146"/>
    <cellStyle name="Normal 5 2 2 4" xfId="213"/>
    <cellStyle name="Normal 5 2 2 5" xfId="277"/>
    <cellStyle name="Normal 5 2 3" xfId="46"/>
    <cellStyle name="Normal 5 2 3 2" xfId="161"/>
    <cellStyle name="Normal 5 2 3 3" xfId="228"/>
    <cellStyle name="Normal 5 2 3 4" xfId="292"/>
    <cellStyle name="Normal 5 2 4" xfId="131"/>
    <cellStyle name="Normal 5 2 5" xfId="122"/>
    <cellStyle name="Normal 5 2 6" xfId="198"/>
    <cellStyle name="Normal 5 2 7" xfId="262"/>
    <cellStyle name="Normal 5 3" xfId="21"/>
    <cellStyle name="Normal 5 3 2" xfId="36"/>
    <cellStyle name="Normal 5 3 2 2" xfId="67"/>
    <cellStyle name="Normal 5 3 2 2 2" xfId="182"/>
    <cellStyle name="Normal 5 3 2 2 3" xfId="248"/>
    <cellStyle name="Normal 5 3 2 2 4" xfId="312"/>
    <cellStyle name="Normal 5 3 2 3" xfId="151"/>
    <cellStyle name="Normal 5 3 2 4" xfId="218"/>
    <cellStyle name="Normal 5 3 2 5" xfId="282"/>
    <cellStyle name="Normal 5 3 3" xfId="51"/>
    <cellStyle name="Normal 5 3 3 2" xfId="166"/>
    <cellStyle name="Normal 5 3 3 3" xfId="233"/>
    <cellStyle name="Normal 5 3 3 4" xfId="297"/>
    <cellStyle name="Normal 5 3 4" xfId="136"/>
    <cellStyle name="Normal 5 3 5" xfId="203"/>
    <cellStyle name="Normal 5 3 6" xfId="267"/>
    <cellStyle name="Normal 5 4" xfId="26"/>
    <cellStyle name="Normal 5 4 2" xfId="57"/>
    <cellStyle name="Normal 5 4 2 2" xfId="172"/>
    <cellStyle name="Normal 5 4 2 3" xfId="238"/>
    <cellStyle name="Normal 5 4 2 4" xfId="302"/>
    <cellStyle name="Normal 5 4 3" xfId="141"/>
    <cellStyle name="Normal 5 4 4" xfId="208"/>
    <cellStyle name="Normal 5 4 5" xfId="272"/>
    <cellStyle name="Normal 5 5" xfId="41"/>
    <cellStyle name="Normal 5 5 2" xfId="156"/>
    <cellStyle name="Normal 5 5 3" xfId="223"/>
    <cellStyle name="Normal 5 5 4" xfId="287"/>
    <cellStyle name="Normal 5 6" xfId="126"/>
    <cellStyle name="Normal 5 6 2" xfId="193"/>
    <cellStyle name="Normal 5 6 3" xfId="257"/>
    <cellStyle name="Normal 5 7" xfId="114"/>
    <cellStyle name="Normal 5 8" xfId="187"/>
    <cellStyle name="Normal 5 9" xfId="253"/>
    <cellStyle name="Normal 6" xfId="70"/>
    <cellStyle name="Normal 6 2" xfId="112"/>
    <cellStyle name="Normal 7" xfId="124"/>
    <cellStyle name="Normal 7 2" xfId="189"/>
    <cellStyle name="Normal 8" xfId="111"/>
    <cellStyle name="Normal 8 2" xfId="188"/>
    <cellStyle name="Normal 8 3" xfId="254"/>
    <cellStyle name="Normal 9 2 2" xfId="8"/>
    <cellStyle name="Normal 9 2 2 2" xfId="15"/>
    <cellStyle name="Normalny" xfId="0" builtinId="0"/>
    <cellStyle name="Note 2" xfId="113"/>
    <cellStyle name="Obliczenia" xfId="81" builtinId="22" customBuiltin="1"/>
    <cellStyle name="Suma" xfId="86" builtinId="25" customBuiltin="1"/>
    <cellStyle name="Tekst objaśnienia" xfId="85" builtinId="53" customBuiltin="1"/>
    <cellStyle name="Tekst ostrzeżenia" xfId="84" builtinId="11" customBuiltin="1"/>
    <cellStyle name="Tytuł" xfId="71" builtinId="15" customBuiltin="1"/>
    <cellStyle name="Złe" xfId="77" builtinId="27" customBuiltin="1"/>
  </cellStyles>
  <dxfs count="6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font>
        <color theme="0"/>
      </font>
    </dxf>
    <dxf>
      <fill>
        <patternFill>
          <bgColor theme="9"/>
        </patternFill>
      </fill>
    </dxf>
    <dxf>
      <fill>
        <patternFill patternType="solid">
          <bgColor theme="9" tint="0.39997558519241921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166" formatCode="_-* #,##0_-;\-* #,##0_-;_-* &quot;-&quot;??_-;_-@_-"/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vertical="center" readingOrder="0"/>
    </dxf>
    <dxf>
      <alignment wrapText="1" readingOrder="0"/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border>
        <horizontal/>
      </border>
    </dxf>
    <dxf>
      <border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9525</xdr:colOff>
      <xdr:row>7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89F9C415-AA49-451C-9EA7-41BD5C4C33FD}"/>
            </a:ext>
          </a:extLst>
        </xdr:cNvPr>
        <xdr:cNvSpPr txBox="1"/>
      </xdr:nvSpPr>
      <xdr:spPr>
        <a:xfrm>
          <a:off x="611188" y="714375"/>
          <a:ext cx="3065462" cy="76200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update rates in EX.RATES tab </a:t>
          </a:r>
          <a:r>
            <a:rPr lang="pl-PL" sz="1200" b="1"/>
            <a:t/>
          </a:r>
          <a:br>
            <a:rPr lang="pl-PL" sz="1200" b="1"/>
          </a:br>
          <a:r>
            <a:rPr lang="pl-PL" sz="1200" b="1"/>
            <a:t>in this workbook</a:t>
          </a:r>
          <a:r>
            <a:rPr lang="pl-PL" sz="1200" b="1" baseline="0"/>
            <a:t> </a:t>
          </a:r>
          <a:br>
            <a:rPr lang="pl-PL" sz="1200" b="1" baseline="0"/>
          </a:br>
          <a:r>
            <a:rPr lang="en-US" sz="1200" b="1"/>
            <a:t>(unhide </a:t>
          </a:r>
          <a:r>
            <a:rPr lang="pl-PL" sz="1200" b="1"/>
            <a:t>work</a:t>
          </a:r>
          <a:r>
            <a:rPr lang="en-US" sz="1200" b="1"/>
            <a:t>sheet and after changes hide it)</a:t>
          </a:r>
        </a:p>
      </xdr:txBody>
    </xdr:sp>
    <xdr:clientData/>
  </xdr:twoCellAnchor>
  <xdr:twoCellAnchor>
    <xdr:from>
      <xdr:col>4</xdr:col>
      <xdr:colOff>209550</xdr:colOff>
      <xdr:row>8</xdr:row>
      <xdr:rowOff>50800</xdr:rowOff>
    </xdr:from>
    <xdr:to>
      <xdr:col>4</xdr:col>
      <xdr:colOff>390525</xdr:colOff>
      <xdr:row>9</xdr:row>
      <xdr:rowOff>111125</xdr:rowOff>
    </xdr:to>
    <xdr:sp macro="" textlink="">
      <xdr:nvSpPr>
        <xdr:cNvPr id="3" name="Arrow: Down 2">
          <a:extLst>
            <a:ext uri="{FF2B5EF4-FFF2-40B4-BE49-F238E27FC236}">
              <a16:creationId xmlns="" xmlns:a16="http://schemas.microsoft.com/office/drawing/2014/main" id="{D591B3D4-2370-4854-B0A2-163CE394310C}"/>
            </a:ext>
          </a:extLst>
        </xdr:cNvPr>
        <xdr:cNvSpPr/>
      </xdr:nvSpPr>
      <xdr:spPr>
        <a:xfrm>
          <a:off x="2038350" y="1555750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32</xdr:row>
      <xdr:rowOff>14288</xdr:rowOff>
    </xdr:from>
    <xdr:to>
      <xdr:col>7</xdr:col>
      <xdr:colOff>82550</xdr:colOff>
      <xdr:row>36</xdr:row>
      <xdr:rowOff>96838</xdr:rowOff>
    </xdr:to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71E12502-BB79-43E1-870A-B7EAA08F7817}"/>
            </a:ext>
          </a:extLst>
        </xdr:cNvPr>
        <xdr:cNvSpPr txBox="1"/>
      </xdr:nvSpPr>
      <xdr:spPr>
        <a:xfrm>
          <a:off x="684213" y="4221163"/>
          <a:ext cx="3065462" cy="71755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contact person </a:t>
          </a:r>
          <a: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(base on previous file and country owner tab which is hided in this file)</a:t>
          </a:r>
          <a:r>
            <a:rPr lang="en-US" sz="1200" b="1"/>
            <a:t> </a:t>
          </a:r>
        </a:p>
      </xdr:txBody>
    </xdr:sp>
    <xdr:clientData/>
  </xdr:twoCellAnchor>
  <xdr:twoCellAnchor>
    <xdr:from>
      <xdr:col>2</xdr:col>
      <xdr:colOff>381000</xdr:colOff>
      <xdr:row>25</xdr:row>
      <xdr:rowOff>6350</xdr:rowOff>
    </xdr:from>
    <xdr:to>
      <xdr:col>6</xdr:col>
      <xdr:colOff>247650</xdr:colOff>
      <xdr:row>28</xdr:row>
      <xdr:rowOff>57150</xdr:rowOff>
    </xdr:to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D378B176-74FF-4DEE-8896-020DFBBD27F3}"/>
            </a:ext>
          </a:extLst>
        </xdr:cNvPr>
        <xdr:cNvSpPr txBox="1"/>
      </xdr:nvSpPr>
      <xdr:spPr>
        <a:xfrm>
          <a:off x="990600" y="3098800"/>
          <a:ext cx="230505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Blocked for payment_details)</a:t>
          </a:r>
          <a:endParaRPr lang="en-US" sz="1200" b="1"/>
        </a:p>
      </xdr:txBody>
    </xdr:sp>
    <xdr:clientData/>
  </xdr:twoCellAnchor>
  <xdr:twoCellAnchor>
    <xdr:from>
      <xdr:col>3</xdr:col>
      <xdr:colOff>55563</xdr:colOff>
      <xdr:row>28</xdr:row>
      <xdr:rowOff>134938</xdr:rowOff>
    </xdr:from>
    <xdr:to>
      <xdr:col>5</xdr:col>
      <xdr:colOff>588963</xdr:colOff>
      <xdr:row>31</xdr:row>
      <xdr:rowOff>77788</xdr:rowOff>
    </xdr:to>
    <xdr:sp macro="[0]!Macro1" textlink="">
      <xdr:nvSpPr>
        <xdr:cNvPr id="9" name="Oval 8">
          <a:extLst>
            <a:ext uri="{FF2B5EF4-FFF2-40B4-BE49-F238E27FC236}">
              <a16:creationId xmlns="" xmlns:a16="http://schemas.microsoft.com/office/drawing/2014/main" id="{3E39372D-ECBF-45C4-9A17-439C64C4CF65}"/>
            </a:ext>
          </a:extLst>
        </xdr:cNvPr>
        <xdr:cNvSpPr/>
      </xdr:nvSpPr>
      <xdr:spPr>
        <a:xfrm>
          <a:off x="1277938" y="3706813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357186</xdr:colOff>
      <xdr:row>38</xdr:row>
      <xdr:rowOff>134938</xdr:rowOff>
    </xdr:from>
    <xdr:to>
      <xdr:col>6</xdr:col>
      <xdr:colOff>223836</xdr:colOff>
      <xdr:row>42</xdr:row>
      <xdr:rowOff>26988</xdr:rowOff>
    </xdr:to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FF31A3B6-D05B-489C-AE51-F1B70C15A27E}"/>
            </a:ext>
          </a:extLst>
        </xdr:cNvPr>
        <xdr:cNvSpPr txBox="1"/>
      </xdr:nvSpPr>
      <xdr:spPr>
        <a:xfrm>
          <a:off x="968374" y="5294313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Summary</a:t>
          </a:r>
          <a:endParaRPr lang="en-US" sz="1200" b="1"/>
        </a:p>
      </xdr:txBody>
    </xdr:sp>
    <xdr:clientData/>
  </xdr:twoCellAnchor>
  <xdr:twoCellAnchor>
    <xdr:from>
      <xdr:col>3</xdr:col>
      <xdr:colOff>63500</xdr:colOff>
      <xdr:row>42</xdr:row>
      <xdr:rowOff>95251</xdr:rowOff>
    </xdr:from>
    <xdr:to>
      <xdr:col>5</xdr:col>
      <xdr:colOff>596900</xdr:colOff>
      <xdr:row>45</xdr:row>
      <xdr:rowOff>38101</xdr:rowOff>
    </xdr:to>
    <xdr:sp macro="[0]!Macro2" textlink="">
      <xdr:nvSpPr>
        <xdr:cNvPr id="11" name="Oval 10">
          <a:extLst>
            <a:ext uri="{FF2B5EF4-FFF2-40B4-BE49-F238E27FC236}">
              <a16:creationId xmlns="" xmlns:a16="http://schemas.microsoft.com/office/drawing/2014/main" id="{CA87DE0B-9A23-4DA6-BA26-988CEDD58F22}"/>
            </a:ext>
          </a:extLst>
        </xdr:cNvPr>
        <xdr:cNvSpPr/>
      </xdr:nvSpPr>
      <xdr:spPr>
        <a:xfrm>
          <a:off x="1285875" y="5889626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190501</xdr:colOff>
      <xdr:row>45</xdr:row>
      <xdr:rowOff>95251</xdr:rowOff>
    </xdr:from>
    <xdr:to>
      <xdr:col>4</xdr:col>
      <xdr:colOff>371476</xdr:colOff>
      <xdr:row>46</xdr:row>
      <xdr:rowOff>155576</xdr:rowOff>
    </xdr:to>
    <xdr:sp macro="" textlink="">
      <xdr:nvSpPr>
        <xdr:cNvPr id="12" name="Arrow: Down 11">
          <a:extLst>
            <a:ext uri="{FF2B5EF4-FFF2-40B4-BE49-F238E27FC236}">
              <a16:creationId xmlns="" xmlns:a16="http://schemas.microsoft.com/office/drawing/2014/main" id="{D36D929C-C1FD-4033-8F1A-1C6C2448C583}"/>
            </a:ext>
          </a:extLst>
        </xdr:cNvPr>
        <xdr:cNvSpPr/>
      </xdr:nvSpPr>
      <xdr:spPr>
        <a:xfrm>
          <a:off x="2024064" y="6365876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198438</xdr:colOff>
      <xdr:row>37</xdr:row>
      <xdr:rowOff>7938</xdr:rowOff>
    </xdr:from>
    <xdr:to>
      <xdr:col>4</xdr:col>
      <xdr:colOff>379413</xdr:colOff>
      <xdr:row>38</xdr:row>
      <xdr:rowOff>68263</xdr:rowOff>
    </xdr:to>
    <xdr:sp macro="" textlink="">
      <xdr:nvSpPr>
        <xdr:cNvPr id="13" name="Arrow: Down 12">
          <a:extLst>
            <a:ext uri="{FF2B5EF4-FFF2-40B4-BE49-F238E27FC236}">
              <a16:creationId xmlns="" xmlns:a16="http://schemas.microsoft.com/office/drawing/2014/main" id="{093DD06B-7760-46F8-BD25-316A384195FA}"/>
            </a:ext>
          </a:extLst>
        </xdr:cNvPr>
        <xdr:cNvSpPr/>
      </xdr:nvSpPr>
      <xdr:spPr>
        <a:xfrm>
          <a:off x="2032001" y="5008563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31750</xdr:colOff>
      <xdr:row>50</xdr:row>
      <xdr:rowOff>150812</xdr:rowOff>
    </xdr:from>
    <xdr:to>
      <xdr:col>5</xdr:col>
      <xdr:colOff>565150</xdr:colOff>
      <xdr:row>53</xdr:row>
      <xdr:rowOff>93662</xdr:rowOff>
    </xdr:to>
    <xdr:sp macro="[0]!Macro3" textlink="">
      <xdr:nvSpPr>
        <xdr:cNvPr id="16" name="Oval 15">
          <a:extLst>
            <a:ext uri="{FF2B5EF4-FFF2-40B4-BE49-F238E27FC236}">
              <a16:creationId xmlns="" xmlns:a16="http://schemas.microsoft.com/office/drawing/2014/main" id="{DAC8F375-D146-4E5F-BD7D-C80DEC05D448}"/>
            </a:ext>
          </a:extLst>
        </xdr:cNvPr>
        <xdr:cNvSpPr/>
      </xdr:nvSpPr>
      <xdr:spPr>
        <a:xfrm>
          <a:off x="1254125" y="7215187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523876</xdr:colOff>
      <xdr:row>53</xdr:row>
      <xdr:rowOff>146982</xdr:rowOff>
    </xdr:from>
    <xdr:to>
      <xdr:col>5</xdr:col>
      <xdr:colOff>47626</xdr:colOff>
      <xdr:row>57</xdr:row>
      <xdr:rowOff>95403</xdr:rowOff>
    </xdr:to>
    <xdr:pic>
      <xdr:nvPicPr>
        <xdr:cNvPr id="8" name="Graphic 7" descr="Open envelope with solid fill">
          <a:extLst>
            <a:ext uri="{FF2B5EF4-FFF2-40B4-BE49-F238E27FC236}">
              <a16:creationId xmlns="" xmlns:a16="http://schemas.microsoft.com/office/drawing/2014/main" id="{62A9712B-FF11-40C8-AC06-CC9AE9C1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46251" y="7687607"/>
          <a:ext cx="746125" cy="583421"/>
        </a:xfrm>
        <a:prstGeom prst="rect">
          <a:avLst/>
        </a:prstGeom>
      </xdr:spPr>
    </xdr:pic>
    <xdr:clientData/>
  </xdr:twoCellAnchor>
  <xdr:twoCellAnchor>
    <xdr:from>
      <xdr:col>2</xdr:col>
      <xdr:colOff>317500</xdr:colOff>
      <xdr:row>47</xdr:row>
      <xdr:rowOff>47625</xdr:rowOff>
    </xdr:from>
    <xdr:to>
      <xdr:col>6</xdr:col>
      <xdr:colOff>184150</xdr:colOff>
      <xdr:row>50</xdr:row>
      <xdr:rowOff>98425</xdr:rowOff>
    </xdr:to>
    <xdr:sp macro="" textlink="">
      <xdr:nvSpPr>
        <xdr:cNvPr id="14" name="TextBox 13">
          <a:extLst>
            <a:ext uri="{FF2B5EF4-FFF2-40B4-BE49-F238E27FC236}">
              <a16:creationId xmlns="" xmlns:a16="http://schemas.microsoft.com/office/drawing/2014/main" id="{9B9F228B-19B1-4CA7-AF6B-18B80E2F2638}"/>
            </a:ext>
          </a:extLst>
        </xdr:cNvPr>
        <xdr:cNvSpPr txBox="1"/>
      </xdr:nvSpPr>
      <xdr:spPr>
        <a:xfrm>
          <a:off x="928688" y="6635750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button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prepare an e-mail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(Outlook must be open)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15876</xdr:colOff>
      <xdr:row>10</xdr:row>
      <xdr:rowOff>31749</xdr:rowOff>
    </xdr:from>
    <xdr:to>
      <xdr:col>7</xdr:col>
      <xdr:colOff>25401</xdr:colOff>
      <xdr:row>17</xdr:row>
      <xdr:rowOff>63500</xdr:rowOff>
    </xdr:to>
    <xdr:sp macro="" textlink="">
      <xdr:nvSpPr>
        <xdr:cNvPr id="19" name="TextBox 18">
          <a:extLst>
            <a:ext uri="{FF2B5EF4-FFF2-40B4-BE49-F238E27FC236}">
              <a16:creationId xmlns="" xmlns:a16="http://schemas.microsoft.com/office/drawing/2014/main" id="{1A3FC095-B8B3-4847-B219-DB5DBA4EE5BA}"/>
            </a:ext>
          </a:extLst>
        </xdr:cNvPr>
        <xdr:cNvSpPr txBox="1"/>
      </xdr:nvSpPr>
      <xdr:spPr>
        <a:xfrm>
          <a:off x="1238251" y="1857374"/>
          <a:ext cx="3065463" cy="11430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log in into SAP and click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 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</a:t>
          </a:r>
          <a:r>
            <a:rPr lang="en-US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download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report from SAP t-code MRBR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will be 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EXPORT.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save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desktop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(don't make any modifications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file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317499</xdr:colOff>
      <xdr:row>18</xdr:row>
      <xdr:rowOff>31751</xdr:rowOff>
    </xdr:from>
    <xdr:to>
      <xdr:col>6</xdr:col>
      <xdr:colOff>309562</xdr:colOff>
      <xdr:row>22</xdr:row>
      <xdr:rowOff>53975</xdr:rowOff>
    </xdr:to>
    <xdr:sp macro="[0]!SAPreport_BEP" textlink="">
      <xdr:nvSpPr>
        <xdr:cNvPr id="22" name="Oval 21">
          <a:extLst>
            <a:ext uri="{FF2B5EF4-FFF2-40B4-BE49-F238E27FC236}">
              <a16:creationId xmlns="" xmlns:a16="http://schemas.microsoft.com/office/drawing/2014/main" id="{A9903E6B-B4E4-4D94-ABA0-4EA3A19FCADE}"/>
            </a:ext>
          </a:extLst>
        </xdr:cNvPr>
        <xdr:cNvSpPr/>
      </xdr:nvSpPr>
      <xdr:spPr>
        <a:xfrm>
          <a:off x="1539874" y="3127376"/>
          <a:ext cx="2436813" cy="657224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report</a:t>
          </a:r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for BEP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198438</xdr:colOff>
      <xdr:row>23</xdr:row>
      <xdr:rowOff>7937</xdr:rowOff>
    </xdr:from>
    <xdr:to>
      <xdr:col>4</xdr:col>
      <xdr:colOff>379413</xdr:colOff>
      <xdr:row>24</xdr:row>
      <xdr:rowOff>68262</xdr:rowOff>
    </xdr:to>
    <xdr:sp macro="" textlink="">
      <xdr:nvSpPr>
        <xdr:cNvPr id="5" name="Arrow: Down 4">
          <a:extLst>
            <a:ext uri="{FF2B5EF4-FFF2-40B4-BE49-F238E27FC236}">
              <a16:creationId xmlns="" xmlns:a16="http://schemas.microsoft.com/office/drawing/2014/main" id="{9D9022E5-1B9A-4C21-9B93-3B8F9C8AFAD6}"/>
            </a:ext>
          </a:extLst>
        </xdr:cNvPr>
        <xdr:cNvSpPr/>
      </xdr:nvSpPr>
      <xdr:spPr>
        <a:xfrm>
          <a:off x="2643188" y="3897312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406.872980208333" createdVersion="3" refreshedVersion="4" minRefreshableVersion="3" recordCount="1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Days 1" numFmtId="0">
      <sharedItems containsNonDate="0" containsString="0" containsBlank="1"/>
    </cacheField>
    <cacheField name="Amount in USD" numFmtId="2">
      <sharedItems/>
    </cacheField>
    <cacheField name="FX rate" numFmtId="167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Blank="1" count="3">
        <m/>
        <s v="LIV - Quantity Discrepancy" u="1"/>
        <s v="LIV - Price Discrepancy" u="1"/>
      </sharedItems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06" maxValue="45406"/>
    </cacheField>
    <cacheField name="Aging" numFmtId="0">
      <sharedItems/>
    </cacheField>
    <cacheField name="Owner" numFmtId="0">
      <sharedItems containsNonDate="0" containsBlank="1" count="4">
        <m/>
        <s v="Kaur Bedi Ishmeet " u="1"/>
        <s v="Stoyanova, Elitsa Dimova &lt;elitsadimova.stoyanova@zoetis.com&gt;" u="1"/>
        <s v="Beck Lindsey; Alexandra Yanez; John Martyn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406.873052662035" createdVersion="3" refreshedVersion="4" minRefreshableVersion="3" recordCount="1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Days 1" numFmtId="0">
      <sharedItems containsNonDate="0" containsString="0" containsBlank="1"/>
    </cacheField>
    <cacheField name="Amount in USD" numFmtId="2">
      <sharedItems/>
    </cacheField>
    <cacheField name="FX rate" numFmtId="167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String="0" containsBlank="1"/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06" maxValue="45406"/>
    </cacheField>
    <cacheField name="Aging" numFmtId="0">
      <sharedItems count="7">
        <s v="[6] &gt;360 days"/>
        <s v="[2] 31-60 days" u="1"/>
        <s v="[4] 90-180 days" u="1"/>
        <s v="[5] 180-360 days" u="1"/>
        <s v="[0] Not due" u="1"/>
        <s v="[3] 61-90 days" u="1"/>
        <s v="[1] 1-30 days" u="1"/>
      </sharedItems>
    </cacheField>
    <cacheField name="Owner" numFmtId="0">
      <sharedItems containsNonDate="0" containsBlank="1" count="4">
        <m/>
        <s v="Kaur Bedi Ishmeet " u="1"/>
        <s v="Stoyanova, Elitsa Dimova &lt;elitsadimova.stoyanova@zoetis.com&gt;" u="1"/>
        <s v="Beck Lindsey; Alexandra Yanez; John Martyn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x v="0"/>
    <d v="1899-12-30T00:00:00"/>
    <n v="45406"/>
    <s v="[6] &gt;360 days"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m/>
    <d v="1899-12-30T00:00:00"/>
    <n v="45406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Owner" colHeaderCaption="R-block reason">
  <location ref="A3:E7" firstHeaderRow="1" firstDataRow="3" firstDataCol="1"/>
  <pivotFields count="26">
    <pivotField showAll="0"/>
    <pivotField showAll="0"/>
    <pivotField dataField="1" showAll="0"/>
    <pivotField showAll="0"/>
    <pivotField numFmtId="2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numFmtId="2" showAll="0"/>
    <pivotField numFmtId="14" showAll="0"/>
    <pivotField numFmtId="1" showAll="0"/>
    <pivotField dataField="1" numFmtId="165" showAll="0" defaultSubtotal="0"/>
    <pivotField showAll="0" defaultSubtotal="0"/>
    <pivotField showAll="0"/>
    <pivotField showAll="0"/>
    <pivotField axis="axisCol" showAll="0">
      <items count="4">
        <item m="1" x="2"/>
        <item m="1" x="1"/>
        <item x="0"/>
        <item t="default"/>
      </items>
    </pivotField>
    <pivotField numFmtId="14" showAll="0"/>
    <pivotField numFmtId="2" showAll="0"/>
    <pivotField showAll="0"/>
    <pivotField axis="axisRow" showAll="0">
      <items count="5">
        <item x="0"/>
        <item m="1" x="1"/>
        <item m="1" x="3"/>
        <item m="1" x="2"/>
        <item t="default"/>
      </items>
    </pivotField>
    <pivotField showAll="0"/>
  </pivotFields>
  <rowFields count="1">
    <field x="24"/>
  </rowFields>
  <rowItems count="2">
    <i>
      <x/>
    </i>
    <i t="grand">
      <x/>
    </i>
  </rowItems>
  <colFields count="2">
    <field x="-2"/>
    <field x="20"/>
  </colFields>
  <colItems count="4">
    <i>
      <x/>
      <x v="2"/>
    </i>
    <i i="1">
      <x v="1"/>
      <x v="2"/>
    </i>
    <i t="grand">
      <x/>
    </i>
    <i t="grand" i="1">
      <x/>
    </i>
  </colItems>
  <dataFields count="2">
    <dataField name="Sum of Amount in USD" fld="16" baseField="0" baseItem="0" numFmtId="166"/>
    <dataField name="Count of Invoice Document No." fld="2" subtotal="count" baseField="23" baseItem="2"/>
  </dataFields>
  <formats count="32">
    <format dxfId="34">
      <pivotArea dataOnly="0" labelOnly="1" grandCol="1" outline="0" fieldPosition="0"/>
    </format>
    <format dxfId="33">
      <pivotArea dataOnly="0" labelOnly="1" grandCol="1" outline="0" fieldPosition="0"/>
    </format>
    <format dxfId="32">
      <pivotArea dataOnly="0" labelOnly="1" grandCol="1" outline="0" fieldPosition="0"/>
    </format>
    <format dxfId="31">
      <pivotArea type="origin" dataOnly="0" labelOnly="1" outline="0" fieldPosition="0"/>
    </format>
    <format dxfId="30">
      <pivotArea field="20" type="button" dataOnly="0" labelOnly="1" outline="0" axis="axisCol" fieldPosition="1"/>
    </format>
    <format dxfId="29">
      <pivotArea type="topRight" dataOnly="0" labelOnly="1" outline="0" fieldPosition="0"/>
    </format>
    <format dxfId="28">
      <pivotArea dataOnly="0" labelOnly="1" grandCol="1" outline="0" fieldPosition="0"/>
    </format>
    <format dxfId="27">
      <pivotArea type="all" dataOnly="0" outline="0" fieldPosition="0"/>
    </format>
    <format dxfId="26">
      <pivotArea field="20" type="button" dataOnly="0" labelOnly="1" outline="0" axis="axisCol" fieldPosition="1"/>
    </format>
    <format dxfId="25">
      <pivotArea type="topRight" dataOnly="0" labelOnly="1" outline="0" fieldPosition="0"/>
    </format>
    <format dxfId="24">
      <pivotArea type="topRight" dataOnly="0" labelOnly="1" outline="0" offset="C1" fieldPosition="0"/>
    </format>
    <format dxfId="23">
      <pivotArea dataOnly="0" labelOnly="1" grandCol="1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20" type="button" dataOnly="0" labelOnly="1" outline="0" axis="axisCol" fieldPosition="1"/>
    </format>
    <format dxfId="19">
      <pivotArea type="topRight" dataOnly="0" labelOnly="1" outline="0" fieldPosition="0"/>
    </format>
    <format dxfId="18">
      <pivotArea dataOnly="0" labelOnly="1" grandCol="1" outline="0" fieldPosition="0"/>
    </format>
    <format dxfId="17">
      <pivotArea type="origin" dataOnly="0" labelOnly="1" outline="0" fieldPosition="0"/>
    </format>
    <format dxfId="16">
      <pivotArea field="20" type="button" dataOnly="0" labelOnly="1" outline="0" axis="axisCol" fieldPosition="1"/>
    </format>
    <format dxfId="15">
      <pivotArea type="topRight" dataOnly="0" labelOnly="1" outline="0" fieldPosition="0"/>
    </format>
    <format dxfId="14">
      <pivotArea dataOnly="0" labelOnly="1" grandCol="1" outline="0" fieldPosition="0"/>
    </format>
    <format dxfId="13">
      <pivotArea grandRow="1" outline="0" collapsedLevelsAreSubtotals="1" fieldPosition="0"/>
    </format>
    <format dxfId="12">
      <pivotArea dataOnly="0" labelOnly="1" grandRow="1" outline="0" fieldPosition="0"/>
    </format>
    <format dxfId="11">
      <pivotArea grandRow="1" outline="0" collapsedLevelsAreSubtotals="1" fieldPosition="0"/>
    </format>
    <format dxfId="10">
      <pivotArea dataOnly="0" labelOnly="1" grandRow="1" outline="0" fieldPosition="0"/>
    </format>
    <format dxfId="9">
      <pivotArea dataOnly="0" labelOnly="1" fieldPosition="0">
        <references count="1">
          <reference field="20" count="0"/>
        </references>
      </pivotArea>
    </format>
    <format dxfId="8">
      <pivotArea dataOnly="0" labelOnly="1" fieldPosition="0">
        <references count="1">
          <reference field="20" count="0"/>
        </references>
      </pivotArea>
    </format>
    <format dxfId="7">
      <pivotArea dataOnly="0" labelOnly="1" fieldPosition="0">
        <references count="1">
          <reference field="20" count="0"/>
        </references>
      </pivotArea>
    </format>
    <format dxfId="6">
      <pivotArea dataOnly="0" labelOnly="1" fieldPosition="0">
        <references count="1">
          <reference field="20" count="0"/>
        </references>
      </pivotArea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field="-2" type="button" dataOnly="0" labelOnly="1" outline="0" axis="axisCol" fieldPosition="0"/>
    </format>
    <format dxfId="3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olHeaderCaption="Aging">
  <location ref="A17:C20" firstHeaderRow="1" firstDataRow="2" firstDataCol="1"/>
  <pivotFields count="26">
    <pivotField compact="0" outline="0" showAll="0"/>
    <pivotField compact="0" outline="0" showAll="0"/>
    <pivotField dataField="1" compact="0" outline="0" showAll="0"/>
    <pivotField compact="0" outline="0" showAll="0"/>
    <pivotField compact="0" numFmtId="2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14" outline="0" showAll="0"/>
    <pivotField compact="0" numFmtId="1" outline="0" showAll="0"/>
    <pivotField compact="0" numFmtId="165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numFmtId="14" outline="0" showAll="0"/>
    <pivotField compact="0" numFmtId="2" outline="0" showAll="0"/>
    <pivotField axis="axisCol" compact="0" outline="0" showAll="0" sortType="ascending">
      <items count="8">
        <item m="1" x="4"/>
        <item m="1" x="6"/>
        <item m="1" x="1"/>
        <item m="1" x="5"/>
        <item m="1" x="2"/>
        <item m="1" x="3"/>
        <item x="0"/>
        <item t="default"/>
      </items>
    </pivotField>
    <pivotField axis="axisRow" compact="0" outline="0" showAll="0">
      <items count="5">
        <item x="0"/>
        <item m="1" x="1"/>
        <item m="1" x="3"/>
        <item m="1" x="2"/>
        <item t="default"/>
      </items>
    </pivotField>
    <pivotField compact="0" outline="0" showAll="0"/>
  </pivotFields>
  <rowFields count="1">
    <field x="24"/>
  </rowFields>
  <rowItems count="2">
    <i>
      <x/>
    </i>
    <i t="grand">
      <x/>
    </i>
  </rowItems>
  <colFields count="1">
    <field x="23"/>
  </colFields>
  <colItems count="2">
    <i>
      <x v="6"/>
    </i>
    <i t="grand">
      <x/>
    </i>
  </colItems>
  <dataFields count="1">
    <dataField name="Count of Invoice Document No." fld="2" subtotal="count" baseField="22" baseItem="1"/>
  </dataFields>
  <formats count="25">
    <format dxfId="59">
      <pivotArea type="origin" dataOnly="0" labelOnly="1" outline="0" fieldPosition="0"/>
    </format>
    <format dxfId="58">
      <pivotArea field="23" type="button" dataOnly="0" labelOnly="1" outline="0" axis="axisCol" fieldPosition="0"/>
    </format>
    <format dxfId="57">
      <pivotArea type="topRight" dataOnly="0" labelOnly="1" outline="0" fieldPosition="0"/>
    </format>
    <format dxfId="56">
      <pivotArea dataOnly="0" labelOnly="1" fieldPosition="0">
        <references count="1">
          <reference field="23" count="0"/>
        </references>
      </pivotArea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field="23" type="button" dataOnly="0" labelOnly="1" outline="0" axis="axisCol" fieldPosition="0"/>
    </format>
    <format dxfId="52">
      <pivotArea type="topRight" dataOnly="0" labelOnly="1" outline="0" fieldPosition="0"/>
    </format>
    <format dxfId="51">
      <pivotArea type="topRight" dataOnly="0" labelOnly="1" outline="0" offset="C1" fieldPosition="0"/>
    </format>
    <format dxfId="50">
      <pivotArea dataOnly="0" labelOnly="1" grandCol="1" outline="0" fieldPosition="0"/>
    </format>
    <format dxfId="49">
      <pivotArea type="origin" dataOnly="0" labelOnly="1" outline="0" fieldPosition="0"/>
    </format>
    <format dxfId="48">
      <pivotArea field="23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fieldPosition="0">
        <references count="1">
          <reference field="23" count="0"/>
        </references>
      </pivotArea>
    </format>
    <format dxfId="45">
      <pivotArea dataOnly="0" labelOnly="1" grandCol="1" outline="0" fieldPosition="0"/>
    </format>
    <format dxfId="44">
      <pivotArea type="origin" dataOnly="0" labelOnly="1" outline="0" fieldPosition="0"/>
    </format>
    <format dxfId="43">
      <pivotArea field="23" type="button" dataOnly="0" labelOnly="1" outline="0" axis="axisCol" fieldPosition="0"/>
    </format>
    <format dxfId="42">
      <pivotArea type="topRight" dataOnly="0" labelOnly="1" outline="0" fieldPosition="0"/>
    </format>
    <format dxfId="41">
      <pivotArea dataOnly="0" labelOnly="1" fieldPosition="0">
        <references count="1">
          <reference field="23" count="0"/>
        </references>
      </pivotArea>
    </format>
    <format dxfId="40">
      <pivotArea dataOnly="0" labelOnly="1" grandCol="1" outline="0" fieldPosition="0"/>
    </format>
    <format dxfId="39">
      <pivotArea grandRow="1" outline="0" collapsedLevelsAreSubtotals="1" fieldPosition="0"/>
    </format>
    <format dxfId="38">
      <pivotArea dataOnly="0" labelOnly="1" grandRow="1" outline="0" fieldPosition="0"/>
    </format>
    <format dxfId="37">
      <pivotArea grandRow="1" outline="0" collapsedLevelsAreSubtotals="1" fieldPosition="0"/>
    </format>
    <format dxfId="36">
      <pivotArea dataOnly="0" labelOnly="1" grandRow="1" outline="0" fieldPosition="0"/>
    </format>
    <format dxfId="35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45"/>
  <sheetViews>
    <sheetView showGridLines="0" tabSelected="1" zoomScale="80" zoomScaleNormal="80" workbookViewId="0">
      <selection activeCell="K15" sqref="K15"/>
    </sheetView>
  </sheetViews>
  <sheetFormatPr defaultRowHeight="12.75"/>
  <cols>
    <col min="1" max="1" width="8.7109375" style="1"/>
  </cols>
  <sheetData>
    <row r="1" spans="3:7" ht="22.5" customHeight="1" thickBot="1"/>
    <row r="2" spans="3:7" ht="21.75" thickBot="1">
      <c r="C2" s="43" t="s">
        <v>37</v>
      </c>
      <c r="D2" s="44"/>
      <c r="E2" s="44"/>
      <c r="F2" s="44"/>
      <c r="G2" s="45"/>
    </row>
    <row r="11" spans="3:7">
      <c r="E11" s="11"/>
    </row>
    <row r="17" spans="3:3" s="1" customFormat="1"/>
    <row r="18" spans="3:3" s="1" customFormat="1"/>
    <row r="19" spans="3:3" s="1" customFormat="1"/>
    <row r="20" spans="3:3" s="1" customFormat="1"/>
    <row r="21" spans="3:3" s="1" customFormat="1"/>
    <row r="22" spans="3:3" s="1" customFormat="1"/>
    <row r="23" spans="3:3" s="1" customFormat="1"/>
    <row r="24" spans="3:3" s="1" customFormat="1"/>
    <row r="28" spans="3:3">
      <c r="C28" s="11"/>
    </row>
    <row r="29" spans="3:3">
      <c r="C29" s="11"/>
    </row>
    <row r="42" spans="3:9">
      <c r="C42" s="11"/>
    </row>
    <row r="45" spans="3:9">
      <c r="I45" s="11"/>
    </row>
  </sheetData>
  <mergeCells count="1">
    <mergeCell ref="C2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L50"/>
  <sheetViews>
    <sheetView zoomScale="80" zoomScaleNormal="80" workbookViewId="0">
      <selection activeCell="C34" sqref="C34"/>
    </sheetView>
  </sheetViews>
  <sheetFormatPr defaultColWidth="7.7109375" defaultRowHeight="12.75"/>
  <cols>
    <col min="1" max="1" width="28.85546875" customWidth="1"/>
    <col min="2" max="2" width="12.85546875" customWidth="1"/>
    <col min="3" max="3" width="15" customWidth="1"/>
    <col min="4" max="4" width="14.42578125" bestFit="1" customWidth="1"/>
    <col min="5" max="5" width="20.85546875" bestFit="1" customWidth="1"/>
    <col min="6" max="8" width="13.5703125" bestFit="1" customWidth="1"/>
    <col min="9" max="9" width="10" bestFit="1" customWidth="1"/>
    <col min="10" max="10" width="20.5703125" bestFit="1" customWidth="1"/>
    <col min="11" max="11" width="18.42578125" bestFit="1" customWidth="1"/>
    <col min="12" max="12" width="21.7109375" bestFit="1" customWidth="1"/>
  </cols>
  <sheetData>
    <row r="1" spans="1:12" s="1" customFormat="1" ht="15">
      <c r="A1" s="2" t="s">
        <v>23</v>
      </c>
    </row>
    <row r="2" spans="1:12" s="1" customFormat="1" ht="15">
      <c r="A2" s="2"/>
    </row>
    <row r="3" spans="1:12">
      <c r="A3" s="33"/>
      <c r="B3" s="33" t="s">
        <v>22</v>
      </c>
      <c r="C3" s="33"/>
      <c r="D3" s="34"/>
      <c r="E3" s="35"/>
    </row>
    <row r="4" spans="1:12" ht="33.950000000000003" customHeight="1">
      <c r="A4" s="33"/>
      <c r="B4" s="33" t="s">
        <v>31</v>
      </c>
      <c r="C4" s="33" t="s">
        <v>21</v>
      </c>
      <c r="D4" s="36" t="s">
        <v>38</v>
      </c>
      <c r="E4" s="36" t="s">
        <v>39</v>
      </c>
    </row>
    <row r="5" spans="1:12">
      <c r="A5" s="33" t="s">
        <v>3</v>
      </c>
      <c r="B5" s="41" t="s">
        <v>40</v>
      </c>
      <c r="C5" s="41" t="s">
        <v>40</v>
      </c>
      <c r="D5" s="37"/>
      <c r="E5" s="37"/>
    </row>
    <row r="6" spans="1:12">
      <c r="A6" s="28" t="s">
        <v>40</v>
      </c>
      <c r="B6" s="8" t="e">
        <v>#N/A</v>
      </c>
      <c r="C6" s="8"/>
      <c r="D6" s="8" t="e">
        <v>#N/A</v>
      </c>
      <c r="E6" s="8"/>
    </row>
    <row r="7" spans="1:12">
      <c r="A7" s="39" t="s">
        <v>41</v>
      </c>
      <c r="B7" s="38" t="e">
        <v>#N/A</v>
      </c>
      <c r="C7" s="38"/>
      <c r="D7" s="38" t="e">
        <v>#N/A</v>
      </c>
      <c r="E7" s="38"/>
    </row>
    <row r="9" spans="1:12" s="1" customFormat="1">
      <c r="A9"/>
      <c r="B9"/>
      <c r="C9"/>
      <c r="D9"/>
      <c r="E9"/>
      <c r="F9"/>
      <c r="G9"/>
      <c r="H9"/>
      <c r="I9"/>
      <c r="J9"/>
      <c r="K9"/>
      <c r="L9"/>
    </row>
    <row r="10" spans="1:12" s="1" customFormat="1">
      <c r="A10"/>
      <c r="B10"/>
      <c r="C10"/>
      <c r="D10"/>
      <c r="E10"/>
      <c r="F10"/>
      <c r="G10"/>
      <c r="H10"/>
      <c r="I10"/>
      <c r="J10"/>
      <c r="K10"/>
      <c r="L10"/>
    </row>
    <row r="11" spans="1:12" s="1" customFormat="1">
      <c r="A11"/>
      <c r="B11"/>
      <c r="C11"/>
      <c r="D11"/>
      <c r="E11"/>
      <c r="F11"/>
      <c r="G11"/>
      <c r="H11"/>
      <c r="I11"/>
      <c r="J11"/>
      <c r="K11"/>
      <c r="L11"/>
    </row>
    <row r="12" spans="1:12" s="1" customFormat="1">
      <c r="A12"/>
      <c r="B12"/>
      <c r="C12"/>
      <c r="D12"/>
      <c r="E12"/>
      <c r="F12"/>
      <c r="G12"/>
      <c r="H12"/>
      <c r="I12"/>
      <c r="J12"/>
      <c r="K12"/>
    </row>
    <row r="13" spans="1:12" s="1" customFormat="1">
      <c r="A13"/>
      <c r="B13"/>
      <c r="C13"/>
      <c r="D13"/>
      <c r="E13"/>
      <c r="F13"/>
      <c r="G13"/>
      <c r="H13"/>
      <c r="I13"/>
      <c r="J13"/>
      <c r="K13"/>
    </row>
    <row r="14" spans="1:12" s="1" customFormat="1">
      <c r="A14"/>
      <c r="B14"/>
      <c r="C14"/>
      <c r="D14"/>
      <c r="E14"/>
      <c r="F14"/>
      <c r="G14"/>
      <c r="H14"/>
      <c r="I14"/>
      <c r="J14"/>
      <c r="K14"/>
    </row>
    <row r="15" spans="1:12" s="1" customFormat="1">
      <c r="A15"/>
      <c r="B15"/>
      <c r="C15"/>
      <c r="D15"/>
      <c r="E15"/>
      <c r="F15"/>
      <c r="G15"/>
      <c r="H15"/>
      <c r="I15"/>
      <c r="J15"/>
      <c r="K15"/>
      <c r="L15"/>
    </row>
    <row r="16" spans="1:12" ht="15">
      <c r="A16" s="2" t="s">
        <v>35</v>
      </c>
    </row>
    <row r="17" spans="1:10">
      <c r="A17" s="33" t="s">
        <v>21</v>
      </c>
      <c r="B17" s="33" t="s">
        <v>4</v>
      </c>
      <c r="C17" s="33"/>
    </row>
    <row r="18" spans="1:10">
      <c r="A18" s="33" t="s">
        <v>3</v>
      </c>
      <c r="B18" s="33" t="s">
        <v>34</v>
      </c>
      <c r="C18" s="33" t="s">
        <v>41</v>
      </c>
    </row>
    <row r="19" spans="1:10" s="9" customFormat="1">
      <c r="A19" s="3" t="s">
        <v>40</v>
      </c>
      <c r="B19" s="4"/>
      <c r="C19" s="4"/>
      <c r="D19"/>
      <c r="E19"/>
      <c r="F19"/>
      <c r="G19"/>
      <c r="H19"/>
      <c r="I19"/>
      <c r="J19"/>
    </row>
    <row r="20" spans="1:10" s="9" customFormat="1">
      <c r="A20" s="40" t="s">
        <v>41</v>
      </c>
      <c r="B20" s="42"/>
      <c r="C20" s="42"/>
      <c r="D20"/>
      <c r="E20"/>
      <c r="F20"/>
      <c r="G20"/>
      <c r="H20"/>
      <c r="I20"/>
      <c r="J20"/>
    </row>
    <row r="21" spans="1:10" s="9" customFormat="1">
      <c r="A21"/>
      <c r="B21"/>
      <c r="C21"/>
      <c r="D21"/>
      <c r="E21"/>
      <c r="F21"/>
      <c r="G21"/>
      <c r="H21"/>
      <c r="I21"/>
      <c r="J21"/>
    </row>
    <row r="22" spans="1:10" s="9" customFormat="1">
      <c r="A22"/>
      <c r="B22"/>
      <c r="C22"/>
      <c r="D22"/>
      <c r="E22"/>
      <c r="F22"/>
      <c r="G22"/>
      <c r="H22"/>
      <c r="I22"/>
      <c r="J22"/>
    </row>
    <row r="23" spans="1:10" s="9" customFormat="1">
      <c r="A23"/>
      <c r="B23"/>
      <c r="C23"/>
      <c r="D23"/>
      <c r="E23"/>
      <c r="F23"/>
      <c r="G23"/>
      <c r="H23"/>
      <c r="I23"/>
      <c r="J23"/>
    </row>
    <row r="24" spans="1:10" s="9" customFormat="1">
      <c r="A24"/>
      <c r="B24"/>
      <c r="C24"/>
      <c r="D24"/>
      <c r="E24"/>
      <c r="F24"/>
      <c r="G24"/>
      <c r="H24"/>
      <c r="I24"/>
      <c r="J24"/>
    </row>
    <row r="25" spans="1:10" s="9" customFormat="1">
      <c r="A25"/>
      <c r="B25"/>
      <c r="C25"/>
      <c r="D25"/>
      <c r="E25"/>
      <c r="F25"/>
      <c r="G25"/>
      <c r="H25"/>
      <c r="I25"/>
      <c r="J25"/>
    </row>
    <row r="26" spans="1:10" s="9" customFormat="1">
      <c r="A26"/>
      <c r="B26"/>
      <c r="C26"/>
      <c r="D26"/>
      <c r="E26"/>
      <c r="F26"/>
      <c r="G26"/>
      <c r="H26"/>
      <c r="I26"/>
      <c r="J26"/>
    </row>
    <row r="27" spans="1:10" s="9" customFormat="1">
      <c r="A27"/>
      <c r="B27"/>
      <c r="C27"/>
      <c r="D27"/>
      <c r="E27"/>
      <c r="F27"/>
      <c r="G27"/>
      <c r="H27"/>
      <c r="I27"/>
      <c r="J27"/>
    </row>
    <row r="28" spans="1:10" s="9" customFormat="1">
      <c r="A28"/>
      <c r="B28"/>
      <c r="C28"/>
      <c r="D28"/>
      <c r="E28"/>
      <c r="F28"/>
      <c r="G28"/>
      <c r="H28"/>
      <c r="I28"/>
      <c r="J28"/>
    </row>
    <row r="29" spans="1:10" s="9" customFormat="1">
      <c r="A29"/>
      <c r="B29"/>
      <c r="C29"/>
      <c r="D29"/>
      <c r="E29"/>
      <c r="F29"/>
      <c r="G29"/>
      <c r="H29"/>
      <c r="I29"/>
      <c r="J29"/>
    </row>
    <row r="30" spans="1:10" s="9" customFormat="1">
      <c r="A30"/>
      <c r="B30"/>
      <c r="C30"/>
      <c r="D30"/>
      <c r="E30"/>
      <c r="F30"/>
      <c r="G30"/>
      <c r="H30"/>
      <c r="I30"/>
      <c r="J30"/>
    </row>
    <row r="31" spans="1:10" s="9" customFormat="1">
      <c r="A31"/>
      <c r="B31"/>
      <c r="C31"/>
      <c r="D31"/>
      <c r="E31"/>
      <c r="F31"/>
      <c r="G31"/>
      <c r="H31"/>
      <c r="I31"/>
      <c r="J31"/>
    </row>
    <row r="32" spans="1:10" s="9" customFormat="1">
      <c r="A32"/>
      <c r="B32"/>
      <c r="C32"/>
      <c r="D32"/>
      <c r="E32"/>
      <c r="F32"/>
      <c r="G32"/>
      <c r="H32"/>
      <c r="I32"/>
      <c r="J32"/>
    </row>
    <row r="33" spans="1:10" s="9" customFormat="1">
      <c r="A33"/>
      <c r="B33"/>
      <c r="C33"/>
      <c r="D33"/>
      <c r="E33"/>
      <c r="F33"/>
      <c r="G33"/>
      <c r="H33"/>
      <c r="I33"/>
      <c r="J33"/>
    </row>
    <row r="34" spans="1:10" s="9" customFormat="1">
      <c r="A34"/>
      <c r="B34"/>
      <c r="C34"/>
      <c r="D34"/>
      <c r="E34"/>
      <c r="F34"/>
      <c r="G34"/>
      <c r="H34"/>
      <c r="I34"/>
      <c r="J34"/>
    </row>
    <row r="35" spans="1:10" s="9" customFormat="1">
      <c r="A35"/>
      <c r="B35"/>
      <c r="C35"/>
      <c r="D35"/>
      <c r="E35"/>
      <c r="F35"/>
      <c r="G35"/>
      <c r="H35"/>
      <c r="I35"/>
      <c r="J35"/>
    </row>
    <row r="36" spans="1:10" s="9" customFormat="1" ht="14.45" customHeight="1">
      <c r="A36"/>
      <c r="B36"/>
      <c r="C36"/>
      <c r="D36"/>
      <c r="E36"/>
      <c r="F36"/>
      <c r="G36"/>
      <c r="H36"/>
      <c r="I36"/>
      <c r="J36"/>
    </row>
    <row r="37" spans="1:10" s="9" customFormat="1">
      <c r="A37"/>
      <c r="B37"/>
      <c r="C37"/>
      <c r="D37"/>
      <c r="E37"/>
      <c r="F37"/>
      <c r="G37"/>
      <c r="H37"/>
      <c r="I37"/>
      <c r="J37"/>
    </row>
    <row r="38" spans="1:10" s="9" customFormat="1">
      <c r="A38"/>
      <c r="B38"/>
      <c r="C38"/>
      <c r="D38"/>
      <c r="E38"/>
      <c r="F38"/>
      <c r="G38"/>
      <c r="H38"/>
      <c r="I38"/>
      <c r="J38"/>
    </row>
    <row r="39" spans="1:10" s="9" customFormat="1">
      <c r="A39"/>
      <c r="B39"/>
      <c r="C39"/>
      <c r="D39"/>
      <c r="E39"/>
      <c r="F39"/>
      <c r="G39"/>
      <c r="H39"/>
      <c r="I39"/>
      <c r="J39"/>
    </row>
    <row r="40" spans="1:10" s="9" customFormat="1">
      <c r="A40"/>
      <c r="B40"/>
      <c r="C40"/>
      <c r="D40"/>
      <c r="E40"/>
      <c r="F40"/>
      <c r="G40"/>
      <c r="H40"/>
      <c r="I40"/>
      <c r="J40"/>
    </row>
    <row r="41" spans="1:10" s="9" customFormat="1">
      <c r="A41"/>
      <c r="B41"/>
      <c r="C41"/>
      <c r="D41"/>
      <c r="E41"/>
      <c r="F41"/>
      <c r="G41"/>
      <c r="H41"/>
      <c r="I41"/>
      <c r="J41"/>
    </row>
    <row r="42" spans="1:10" s="9" customFormat="1">
      <c r="A42"/>
      <c r="B42"/>
      <c r="C42"/>
      <c r="D42"/>
      <c r="E42"/>
      <c r="F42"/>
      <c r="G42"/>
      <c r="H42"/>
      <c r="I42"/>
      <c r="J42"/>
    </row>
    <row r="43" spans="1:10" s="9" customFormat="1">
      <c r="A43"/>
      <c r="B43"/>
      <c r="C43"/>
      <c r="D43"/>
      <c r="E43"/>
      <c r="F43"/>
      <c r="G43"/>
      <c r="H43"/>
      <c r="I43"/>
      <c r="J43"/>
    </row>
    <row r="44" spans="1:10" s="9" customFormat="1">
      <c r="A44"/>
      <c r="B44"/>
      <c r="C44"/>
      <c r="D44"/>
      <c r="E44"/>
      <c r="F44"/>
      <c r="G44"/>
      <c r="H44"/>
      <c r="I44"/>
      <c r="J44"/>
    </row>
    <row r="45" spans="1:10" s="9" customFormat="1">
      <c r="A45"/>
      <c r="B45"/>
      <c r="C45"/>
      <c r="D45"/>
      <c r="E45"/>
      <c r="F45"/>
      <c r="G45"/>
      <c r="H45"/>
      <c r="I45"/>
      <c r="J45"/>
    </row>
    <row r="46" spans="1:10" s="9" customFormat="1">
      <c r="A46"/>
      <c r="B46"/>
      <c r="C46"/>
      <c r="D46"/>
      <c r="E46"/>
      <c r="F46"/>
      <c r="G46"/>
      <c r="H46"/>
      <c r="I46"/>
      <c r="J46"/>
    </row>
    <row r="47" spans="1:10" s="9" customFormat="1">
      <c r="A47"/>
      <c r="B47"/>
      <c r="C47"/>
      <c r="D47"/>
      <c r="E47"/>
      <c r="F47"/>
      <c r="G47"/>
      <c r="H47"/>
      <c r="I47"/>
      <c r="J47"/>
    </row>
    <row r="48" spans="1:10" s="9" customFormat="1">
      <c r="A48"/>
      <c r="B48"/>
      <c r="C48"/>
      <c r="D48"/>
      <c r="E48"/>
      <c r="F48"/>
      <c r="G48"/>
      <c r="H48"/>
      <c r="I48"/>
      <c r="J48"/>
    </row>
    <row r="49" spans="1:10" s="9" customFormat="1">
      <c r="A49"/>
      <c r="B49"/>
      <c r="C49"/>
      <c r="D49"/>
      <c r="E49"/>
      <c r="F49"/>
      <c r="G49"/>
      <c r="H49"/>
      <c r="I49"/>
      <c r="J49"/>
    </row>
    <row r="50" spans="1:10" s="9" customFormat="1">
      <c r="A50"/>
      <c r="B50"/>
      <c r="C50"/>
      <c r="D50"/>
      <c r="E50"/>
      <c r="F50"/>
      <c r="G50"/>
      <c r="H50"/>
      <c r="I50"/>
      <c r="J50"/>
    </row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A1:Z2"/>
  <sheetViews>
    <sheetView zoomScale="80" zoomScaleNormal="80" workbookViewId="0">
      <pane xSplit="10" ySplit="2" topLeftCell="K3" activePane="bottomRight" state="frozen"/>
      <selection activeCell="B29" sqref="B29"/>
      <selection pane="topRight" activeCell="B29" sqref="B29"/>
      <selection pane="bottomLeft" activeCell="B29" sqref="B29"/>
      <selection pane="bottomRight" activeCell="A3" sqref="A3"/>
    </sheetView>
  </sheetViews>
  <sheetFormatPr defaultRowHeight="12.75"/>
  <cols>
    <col min="1" max="6" width="11.42578125" style="12" customWidth="1"/>
    <col min="7" max="7" width="11.42578125" style="15" customWidth="1"/>
    <col min="8" max="9" width="11.42578125" style="12" customWidth="1"/>
    <col min="10" max="10" width="13.85546875" style="12" customWidth="1"/>
    <col min="11" max="14" width="11.42578125" style="12" customWidth="1"/>
    <col min="15" max="15" width="11.42578125" style="15" customWidth="1"/>
    <col min="16" max="16" width="11.42578125" style="30" customWidth="1"/>
    <col min="17" max="17" width="16.140625" style="12" customWidth="1"/>
    <col min="18" max="20" width="11.42578125" style="12" hidden="1" customWidth="1"/>
    <col min="21" max="21" width="11.42578125" style="12" customWidth="1"/>
    <col min="22" max="23" width="11.42578125" style="12" hidden="1" customWidth="1"/>
    <col min="24" max="25" width="11.42578125" style="12" customWidth="1"/>
    <col min="26" max="26" width="18" style="12" bestFit="1" customWidth="1"/>
  </cols>
  <sheetData>
    <row r="1" spans="1:26" s="1" customFormat="1" ht="44.1" customHeight="1">
      <c r="A1" s="13" t="s">
        <v>36</v>
      </c>
      <c r="B1" s="18" t="s">
        <v>7</v>
      </c>
      <c r="C1" s="18" t="s">
        <v>8</v>
      </c>
      <c r="D1" s="18" t="s">
        <v>0</v>
      </c>
      <c r="E1" s="19" t="s">
        <v>9</v>
      </c>
      <c r="F1" s="18" t="s">
        <v>10</v>
      </c>
      <c r="G1" s="20" t="s">
        <v>11</v>
      </c>
      <c r="H1" s="18" t="s">
        <v>1</v>
      </c>
      <c r="I1" s="21" t="s">
        <v>32</v>
      </c>
      <c r="J1" s="22" t="s">
        <v>33</v>
      </c>
      <c r="K1" s="18" t="s">
        <v>12</v>
      </c>
      <c r="L1" s="18" t="s">
        <v>2</v>
      </c>
      <c r="M1" s="18" t="s">
        <v>13</v>
      </c>
      <c r="N1" s="18" t="s">
        <v>14</v>
      </c>
      <c r="O1" s="20" t="s">
        <v>15</v>
      </c>
      <c r="P1" s="29" t="s">
        <v>16</v>
      </c>
      <c r="Q1" s="23" t="s">
        <v>29</v>
      </c>
      <c r="R1" s="24" t="s">
        <v>30</v>
      </c>
      <c r="S1" s="25" t="s">
        <v>18</v>
      </c>
      <c r="T1" s="24" t="s">
        <v>19</v>
      </c>
      <c r="U1" s="24" t="s">
        <v>20</v>
      </c>
      <c r="V1" s="24" t="s">
        <v>17</v>
      </c>
      <c r="W1" s="24" t="s">
        <v>5</v>
      </c>
      <c r="X1" s="24" t="s">
        <v>4</v>
      </c>
      <c r="Y1" s="25" t="s">
        <v>3</v>
      </c>
      <c r="Z1" s="24" t="s">
        <v>6</v>
      </c>
    </row>
    <row r="2" spans="1:26" s="1" customFormat="1">
      <c r="A2" s="12"/>
      <c r="B2" s="12"/>
      <c r="C2" s="12"/>
      <c r="D2" s="12"/>
      <c r="E2" s="12"/>
      <c r="F2" s="12"/>
      <c r="G2" s="15"/>
      <c r="H2" s="12"/>
      <c r="I2" s="12"/>
      <c r="J2" s="26" t="e">
        <f t="shared" ref="J2" ca="1" si="0">_xlfn.CONCAT(H2,I2)</f>
        <v>#NAME?</v>
      </c>
      <c r="K2" s="12"/>
      <c r="L2" s="12"/>
      <c r="M2" s="12"/>
      <c r="N2" s="12"/>
      <c r="O2" s="15"/>
      <c r="P2" s="30"/>
      <c r="Q2" s="31" t="e">
        <f t="shared" ref="Q2" si="1">R2*E2</f>
        <v>#N/A</v>
      </c>
      <c r="R2" s="27" t="e">
        <f>VLOOKUP(F2,EX.RATES!$B:$E,4,FALSE)</f>
        <v>#N/A</v>
      </c>
      <c r="S2" s="14" t="str">
        <f t="shared" ref="S2" si="2">IF(M2=0,"-",IF(M2&lt;0,"LIV - Quantity Discrepancy",IF(M2&gt;0,"LIV - Quantity Discrepancy")))</f>
        <v>-</v>
      </c>
      <c r="T2" s="14" t="str">
        <f t="shared" ref="T2" si="3">IF(N2=0,"-",IF(N2&lt;0,"LIV - Price Discrepancy",IF(N2&gt;0,"LIV - Price Discrepancy")))</f>
        <v>-</v>
      </c>
      <c r="U2" s="12"/>
      <c r="V2" s="15">
        <f t="shared" ref="V2" si="4">O2+P2</f>
        <v>0</v>
      </c>
      <c r="W2" s="16">
        <f t="shared" ref="W2" ca="1" si="5">TODAY()-V2</f>
        <v>45406</v>
      </c>
      <c r="X2" s="17" t="str">
        <f t="shared" ref="X2" ca="1" si="6">IF(W2&lt;=0,"[0] Not due",IF(W2&lt;=30,"[1] 1-30 days",IF(W2&lt;=60,"[2] 31-60 days",IF(W2&lt;=90,"[3] 61-90 days",IF(W2&lt;=180,"[4] 90-180 days",IF(W2&lt;=360,"[5] 180-360 days","[6] &gt;360 days"))))))</f>
        <v>[6] &gt;360 days</v>
      </c>
      <c r="Y2" s="10"/>
      <c r="Z2" s="32"/>
    </row>
  </sheetData>
  <autoFilter ref="A1:Z2">
    <sortState ref="A2:Z870">
      <sortCondition ref="Y1:Y10"/>
      <sortCondition ref="Z1:Z10"/>
    </sortState>
  </autoFilter>
  <sortState ref="A2:Z2">
    <sortCondition ref="Y2"/>
    <sortCondition ref="Z2"/>
  </sortState>
  <phoneticPr fontId="38" type="noConversion"/>
  <conditionalFormatting sqref="J1">
    <cfRule type="duplicateValues" dxfId="2" priority="2"/>
  </conditionalFormatting>
  <conditionalFormatting sqref="C1:C2">
    <cfRule type="duplicateValues" dxfId="1" priority="1"/>
  </conditionalFormatting>
  <conditionalFormatting sqref="J2">
    <cfRule type="duplicateValues" dxfId="0" priority="116"/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H1"/>
  <sheetViews>
    <sheetView zoomScale="85" zoomScaleNormal="85" workbookViewId="0">
      <selection activeCell="A2" sqref="A2"/>
    </sheetView>
  </sheetViews>
  <sheetFormatPr defaultRowHeight="12.75"/>
  <cols>
    <col min="1" max="1" width="10.7109375" style="7" bestFit="1" customWidth="1"/>
    <col min="2" max="2" width="10.7109375" style="7" customWidth="1"/>
    <col min="3" max="3" width="9.140625" style="7" bestFit="1" customWidth="1"/>
    <col min="4" max="4" width="12.140625" style="7" bestFit="1" customWidth="1"/>
    <col min="5" max="5" width="13" style="7" bestFit="1" customWidth="1"/>
    <col min="6" max="6" width="21.7109375" customWidth="1"/>
  </cols>
  <sheetData>
    <row r="1" spans="1:8" ht="25.5">
      <c r="A1" s="5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G1" s="1"/>
      <c r="H1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MACRO</vt:lpstr>
      <vt:lpstr>Summary</vt:lpstr>
      <vt:lpstr>Blocked for payment_details</vt:lpstr>
      <vt:lpstr>EX.RATES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Szymczyk, Dymitr</dc:creator>
  <cp:lastModifiedBy>Użytkownik systemu Windows</cp:lastModifiedBy>
  <cp:revision>1</cp:revision>
  <dcterms:created xsi:type="dcterms:W3CDTF">2016-03-07T11:57:36Z</dcterms:created>
  <dcterms:modified xsi:type="dcterms:W3CDTF">2024-04-24T18:58:59Z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795725-52d2-44ec-87ed-8b3b9e2ed4e5_Enabled">
    <vt:lpwstr>true</vt:lpwstr>
  </property>
  <property fmtid="{D5CDD505-2E9C-101B-9397-08002B2CF9AE}" pid="3" name="MSIP_Label_9e795725-52d2-44ec-87ed-8b3b9e2ed4e5_SetDate">
    <vt:lpwstr>2022-02-05T19:48:29Z</vt:lpwstr>
  </property>
  <property fmtid="{D5CDD505-2E9C-101B-9397-08002B2CF9AE}" pid="4" name="MSIP_Label_9e795725-52d2-44ec-87ed-8b3b9e2ed4e5_Method">
    <vt:lpwstr>Standard</vt:lpwstr>
  </property>
  <property fmtid="{D5CDD505-2E9C-101B-9397-08002B2CF9AE}" pid="5" name="MSIP_Label_9e795725-52d2-44ec-87ed-8b3b9e2ed4e5_Name">
    <vt:lpwstr>Internal</vt:lpwstr>
  </property>
  <property fmtid="{D5CDD505-2E9C-101B-9397-08002B2CF9AE}" pid="6" name="MSIP_Label_9e795725-52d2-44ec-87ed-8b3b9e2ed4e5_SiteId">
    <vt:lpwstr>a10ba484-6331-40ee-b0ab-cb737ca60a80</vt:lpwstr>
  </property>
  <property fmtid="{D5CDD505-2E9C-101B-9397-08002B2CF9AE}" pid="7" name="MSIP_Label_9e795725-52d2-44ec-87ed-8b3b9e2ed4e5_ActionId">
    <vt:lpwstr>44abd023-e2bf-44d3-b0bf-7605a2570ea5</vt:lpwstr>
  </property>
  <property fmtid="{D5CDD505-2E9C-101B-9397-08002B2CF9AE}" pid="8" name="MSIP_Label_9e795725-52d2-44ec-87ed-8b3b9e2ed4e5_ContentBits">
    <vt:lpwstr>0</vt:lpwstr>
  </property>
</Properties>
</file>