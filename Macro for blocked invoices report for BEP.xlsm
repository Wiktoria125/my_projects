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28680" yWindow="-6180" windowWidth="20730" windowHeight="11760"/>
  </bookViews>
  <sheets>
    <sheet name="MACRO" sheetId="60" r:id="rId1"/>
    <sheet name="Summary" sheetId="53" r:id="rId2"/>
    <sheet name="Blocked for payment_details" sheetId="2" r:id="rId3"/>
    <sheet name="EX.RATES" sheetId="54" r:id="rId4"/>
  </sheets>
  <definedNames>
    <definedName name="_xlnm._FilterDatabase" localSheetId="2" hidden="1">'Blocked for payment_details'!$A$1:$Z$2</definedName>
    <definedName name="_xlnm._FilterDatabase" localSheetId="3" hidden="1">EX.RATES!$A$1:$H$1</definedName>
  </definedNames>
  <calcPr calcId="145621"/>
  <pivotCaches>
    <pivotCache cacheId="12" r:id="rId5"/>
    <pivotCache cacheId="1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X2" i="2" s="1"/>
  <c r="T2" i="2"/>
  <c r="S2" i="2"/>
  <c r="R2" i="2"/>
  <c r="Q2" i="2" s="1"/>
  <c r="J2" i="2"/>
</calcChain>
</file>

<file path=xl/sharedStrings.xml><?xml version="1.0" encoding="utf-8"?>
<sst xmlns="http://schemas.openxmlformats.org/spreadsheetml/2006/main" count="51" uniqueCount="42">
  <si>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</si>
  <si>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</si>
  <si>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</si>
  <si>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</si>
  <si>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</si>
  <si>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</si>
  <si>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</si>
  <si>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</si>
  <si>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</si>
  <si>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</si>
  <si>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</si>
  <si>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</si>
  <si>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</si>
  <si>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</si>
  <si>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</si>
  <si>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</si>
  <si>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</si>
  <si>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</si>
  <si>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</si>
  <si>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</si>
  <si>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</si>
  <si>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</si>
  <si>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</si>
  <si>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</si>
  <si>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</si>
  <si>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</si>
  <si>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</si>
  <si>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</si>
  <si>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</si>
  <si>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</si>
  <si>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</si>
  <si>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</si>
  <si>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</si>
  <si>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</si>
  <si>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</si>
  <si>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</si>
  <si>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</si>
  <si>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Payment Terms
(60 days)</t>
  </si>
  <si>
    <t>Razem: Sum of Amount in USD</t>
  </si>
  <si>
    <t>Razem: Count of Invoice Document No.</t>
  </si>
  <si>
    <t>(puste)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</si>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</sst>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10"/>
      <color rgb="FFFF0000"/>
      <name val="Arial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0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2" fontId="0" fillId="0" borderId="0" xfId="120" applyNumberFormat="1" applyFont="1" applyAlignment="1">
      <alignment horizontal="center" vertical="center"/>
    </xf>
    <xf numFmtId="0" fontId="38" fillId="0" borderId="0" xfId="0" applyFont="1" applyAlignment="1">
      <alignment vertical="top"/>
    </xf>
    <xf numFmtId="0" fontId="16" fillId="35" borderId="1" xfId="0" applyFont="1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vertical="center" wrapText="1"/>
    </xf>
    <xf numFmtId="0" fontId="11" fillId="0" borderId="0" xfId="3" applyAlignment="1">
      <alignment vertical="center"/>
    </xf>
    <xf numFmtId="0" fontId="0" fillId="0" borderId="0" xfId="0" applyAlignment="1">
      <alignment vertical="center"/>
    </xf>
    <xf numFmtId="0" fontId="39" fillId="37" borderId="11" xfId="0" applyFont="1" applyFill="1" applyBorder="1" applyAlignment="1">
      <alignment vertical="top"/>
    </xf>
    <xf numFmtId="0" fontId="39" fillId="37" borderId="12" xfId="0" applyFont="1" applyFill="1" applyBorder="1" applyAlignment="1">
      <alignment vertical="top"/>
    </xf>
    <xf numFmtId="0" fontId="39" fillId="37" borderId="13" xfId="0" applyFont="1" applyFill="1" applyBorder="1" applyAlignment="1">
      <alignment vertical="top"/>
    </xf>
    <xf numFmtId="0" fontId="39" fillId="37" borderId="14" xfId="0" applyFont="1" applyFill="1" applyBorder="1" applyAlignment="1">
      <alignment horizontal="center" vertical="center" wrapText="1"/>
    </xf>
    <xf numFmtId="0" fontId="39" fillId="37" borderId="15" xfId="0" applyFont="1" applyFill="1" applyBorder="1" applyAlignment="1">
      <alignment horizontal="center" vertical="center" wrapText="1"/>
    </xf>
    <xf numFmtId="166" fontId="40" fillId="37" borderId="11" xfId="0" applyNumberFormat="1" applyFont="1" applyFill="1" applyBorder="1" applyAlignment="1">
      <alignment vertical="top"/>
    </xf>
    <xf numFmtId="0" fontId="40" fillId="37" borderId="11" xfId="0" applyFont="1" applyFill="1" applyBorder="1" applyAlignment="1">
      <alignment horizontal="left" vertical="top"/>
    </xf>
    <xf numFmtId="0" fontId="40" fillId="37" borderId="11" xfId="0" applyFont="1" applyFill="1" applyBorder="1" applyAlignment="1">
      <alignment vertical="top"/>
    </xf>
    <xf numFmtId="0" fontId="40" fillId="37" borderId="11" xfId="0" applyFont="1" applyFill="1" applyBorder="1" applyAlignment="1">
      <alignment vertical="top" wrapText="1"/>
    </xf>
    <xf numFmtId="0" fontId="40" fillId="37" borderId="11" xfId="0" applyNumberFormat="1" applyFont="1" applyFill="1" applyBorder="1" applyAlignment="1">
      <alignment vertical="top"/>
    </xf>
    <xf numFmtId="0" fontId="37" fillId="36" borderId="16" xfId="0" applyFont="1" applyFill="1" applyBorder="1" applyAlignment="1">
      <alignment horizontal="center" vertical="center"/>
    </xf>
    <xf numFmtId="0" fontId="37" fillId="36" borderId="17" xfId="0" applyFont="1" applyFill="1" applyBorder="1" applyAlignment="1">
      <alignment horizontal="center" vertical="center"/>
    </xf>
    <xf numFmtId="0" fontId="37" fillId="36" borderId="18" xfId="0" applyFont="1" applyFill="1" applyBorder="1" applyAlignment="1">
      <alignment horizontal="center" vertical="center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6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5</xdr:row>
      <xdr:rowOff>130968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89F9C415-AA49-451C-9EA7-41BD5C4C33FD}"/>
            </a:ext>
          </a:extLst>
        </xdr:cNvPr>
        <xdr:cNvSpPr txBox="1"/>
      </xdr:nvSpPr>
      <xdr:spPr>
        <a:xfrm>
          <a:off x="1214438" y="726281"/>
          <a:ext cx="3045618" cy="464343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endParaRPr lang="en-US" sz="1200" b="1"/>
        </a:p>
      </xdr:txBody>
    </xdr:sp>
    <xdr:clientData/>
  </xdr:twoCellAnchor>
  <xdr:twoCellAnchor>
    <xdr:from>
      <xdr:col>4</xdr:col>
      <xdr:colOff>209550</xdr:colOff>
      <xdr:row>6</xdr:row>
      <xdr:rowOff>50800</xdr:rowOff>
    </xdr:from>
    <xdr:to>
      <xdr:col>4</xdr:col>
      <xdr:colOff>390525</xdr:colOff>
      <xdr:row>7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="" xmlns:a16="http://schemas.microsoft.com/office/drawing/2014/main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30</xdr:row>
      <xdr:rowOff>11113</xdr:rowOff>
    </xdr:from>
    <xdr:to>
      <xdr:col>7</xdr:col>
      <xdr:colOff>85725</xdr:colOff>
      <xdr:row>31</xdr:row>
      <xdr:rowOff>107155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71E12502-BB79-43E1-870A-B7EAA08F7817}"/>
            </a:ext>
          </a:extLst>
        </xdr:cNvPr>
        <xdr:cNvSpPr txBox="1"/>
      </xdr:nvSpPr>
      <xdr:spPr>
        <a:xfrm>
          <a:off x="1287463" y="5237957"/>
          <a:ext cx="3048793" cy="262729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pl-PL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update comments</a:t>
          </a:r>
          <a:endParaRPr lang="en-US" sz="1200" b="1"/>
        </a:p>
      </xdr:txBody>
    </xdr:sp>
    <xdr:clientData/>
  </xdr:twoCellAnchor>
  <xdr:twoCellAnchor>
    <xdr:from>
      <xdr:col>2</xdr:col>
      <xdr:colOff>381000</xdr:colOff>
      <xdr:row>23</xdr:row>
      <xdr:rowOff>6350</xdr:rowOff>
    </xdr:from>
    <xdr:to>
      <xdr:col>6</xdr:col>
      <xdr:colOff>247650</xdr:colOff>
      <xdr:row>26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26</xdr:row>
      <xdr:rowOff>134938</xdr:rowOff>
    </xdr:from>
    <xdr:to>
      <xdr:col>5</xdr:col>
      <xdr:colOff>588963</xdr:colOff>
      <xdr:row>29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="" xmlns:a16="http://schemas.microsoft.com/office/drawing/2014/main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33</xdr:row>
      <xdr:rowOff>134938</xdr:rowOff>
    </xdr:from>
    <xdr:to>
      <xdr:col>6</xdr:col>
      <xdr:colOff>223836</xdr:colOff>
      <xdr:row>37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37</xdr:row>
      <xdr:rowOff>95251</xdr:rowOff>
    </xdr:from>
    <xdr:to>
      <xdr:col>5</xdr:col>
      <xdr:colOff>596900</xdr:colOff>
      <xdr:row>40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="" xmlns:a16="http://schemas.microsoft.com/office/drawing/2014/main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40</xdr:row>
      <xdr:rowOff>95251</xdr:rowOff>
    </xdr:from>
    <xdr:to>
      <xdr:col>4</xdr:col>
      <xdr:colOff>371476</xdr:colOff>
      <xdr:row>41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="" xmlns:a16="http://schemas.microsoft.com/office/drawing/2014/main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32</xdr:row>
      <xdr:rowOff>7938</xdr:rowOff>
    </xdr:from>
    <xdr:to>
      <xdr:col>4</xdr:col>
      <xdr:colOff>379413</xdr:colOff>
      <xdr:row>33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="" xmlns:a16="http://schemas.microsoft.com/office/drawing/2014/main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45</xdr:row>
      <xdr:rowOff>150812</xdr:rowOff>
    </xdr:from>
    <xdr:to>
      <xdr:col>5</xdr:col>
      <xdr:colOff>565150</xdr:colOff>
      <xdr:row>48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="" xmlns:a16="http://schemas.microsoft.com/office/drawing/2014/main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48</xdr:row>
      <xdr:rowOff>146982</xdr:rowOff>
    </xdr:from>
    <xdr:to>
      <xdr:col>5</xdr:col>
      <xdr:colOff>44451</xdr:colOff>
      <xdr:row>52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="" xmlns:a16="http://schemas.microsoft.com/office/drawing/2014/main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42</xdr:row>
      <xdr:rowOff>47625</xdr:rowOff>
    </xdr:from>
    <xdr:to>
      <xdr:col>6</xdr:col>
      <xdr:colOff>184150</xdr:colOff>
      <xdr:row>45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8</xdr:row>
      <xdr:rowOff>31749</xdr:rowOff>
    </xdr:from>
    <xdr:to>
      <xdr:col>7</xdr:col>
      <xdr:colOff>25401</xdr:colOff>
      <xdr:row>15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="" xmlns:a16="http://schemas.microsoft.com/office/drawing/2014/main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16</xdr:row>
      <xdr:rowOff>31751</xdr:rowOff>
    </xdr:from>
    <xdr:to>
      <xdr:col>6</xdr:col>
      <xdr:colOff>309562</xdr:colOff>
      <xdr:row>20</xdr:row>
      <xdr:rowOff>53975</xdr:rowOff>
    </xdr:to>
    <xdr:sp macro="[0]!SAPreport_BEP" textlink="">
      <xdr:nvSpPr>
        <xdr:cNvPr id="22" name="Oval 21">
          <a:extLst>
            <a:ext uri="{FF2B5EF4-FFF2-40B4-BE49-F238E27FC236}">
              <a16:creationId xmlns="" xmlns:a16="http://schemas.microsoft.com/office/drawing/2014/main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21</xdr:row>
      <xdr:rowOff>7937</xdr:rowOff>
    </xdr:from>
    <xdr:to>
      <xdr:col>4</xdr:col>
      <xdr:colOff>379413</xdr:colOff>
      <xdr:row>22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="" xmlns:a16="http://schemas.microsoft.com/office/drawing/2014/main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72.583842129628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/>
    </cacheField>
    <cacheField name="Owner" numFmtId="0">
      <sharedItems containsNonDate="0" containsBlank="1" count="3">
        <m/>
        <s v="Kaur Bedi Ishmeet " u="1"/>
        <s v="Elitsa Dimova Stoyanova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72.583881481478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String="0" containsBlank="1"/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 count="7">
        <s v="[6] &gt;360 days"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ntainsNonDate="0" containsBlank="1" count="3">
        <m/>
        <s v="Kaur Bedi Ishmeet " u="1"/>
        <s v="Elitsa Dimova Stoyanova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72"/>
    <s v="[6] &gt;360 days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72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C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8">
        <item m="1" x="4"/>
        <item m="1" x="6"/>
        <item m="1" x="1"/>
        <item m="1" x="5"/>
        <item m="1" x="2"/>
        <item m="1" x="3"/>
        <item x="0"/>
        <item t="default"/>
      </items>
    </pivotField>
    <pivotField axis="axisRow" compact="0" outline="0" showAll="0">
      <items count="4">
        <item x="0"/>
        <item m="1" x="2"/>
        <item m="1" x="1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2">
    <i>
      <x v="6"/>
    </i>
    <i t="grand">
      <x/>
    </i>
  </colItems>
  <dataFields count="1">
    <dataField name="Count of Invoice Document No." fld="2" subtotal="count" baseField="22" baseItem="1"/>
  </dataFields>
  <formats count="25">
    <format dxfId="28">
      <pivotArea type="origin" dataOnly="0" labelOnly="1" outline="0" fieldPosition="0"/>
    </format>
    <format dxfId="27">
      <pivotArea field="23" type="button" dataOnly="0" labelOnly="1" outline="0" axis="axisCol" fieldPosition="0"/>
    </format>
    <format dxfId="26">
      <pivotArea type="topRight" dataOnly="0" labelOnly="1" outline="0" fieldPosition="0"/>
    </format>
    <format dxfId="25">
      <pivotArea dataOnly="0" labelOnly="1" fieldPosition="0">
        <references count="1">
          <reference field="23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field="23" type="button" dataOnly="0" labelOnly="1" outline="0" axis="axisCol" fieldPosition="0"/>
    </format>
    <format dxfId="21">
      <pivotArea type="topRight" dataOnly="0" labelOnly="1" outline="0" fieldPosition="0"/>
    </format>
    <format dxfId="20">
      <pivotArea type="topRight" dataOnly="0" labelOnly="1" outline="0" offset="C1" fieldPosition="0"/>
    </format>
    <format dxfId="19">
      <pivotArea dataOnly="0" labelOnly="1" grandCol="1" outline="0" fieldPosition="0"/>
    </format>
    <format dxfId="18">
      <pivotArea type="origin" dataOnly="0" labelOnly="1" outline="0" fieldPosition="0"/>
    </format>
    <format dxfId="17">
      <pivotArea field="23" type="button" dataOnly="0" labelOnly="1" outline="0" axis="axisCol" fieldPosition="0"/>
    </format>
    <format dxfId="16">
      <pivotArea type="topRight" dataOnly="0" labelOnly="1" outline="0" fieldPosition="0"/>
    </format>
    <format dxfId="15">
      <pivotArea dataOnly="0" labelOnly="1" fieldPosition="0">
        <references count="1">
          <reference field="23" count="0"/>
        </references>
      </pivotArea>
    </format>
    <format dxfId="14">
      <pivotArea dataOnly="0" labelOnly="1" grandCol="1" outline="0" fieldPosition="0"/>
    </format>
    <format dxfId="13">
      <pivotArea type="origin" dataOnly="0" labelOnly="1" outline="0" fieldPosition="0"/>
    </format>
    <format dxfId="12">
      <pivotArea field="23" type="button" dataOnly="0" labelOnly="1" outline="0" axis="axisCol" fieldPosition="0"/>
    </format>
    <format dxfId="11">
      <pivotArea type="topRight" dataOnly="0" labelOnly="1" outline="0" fieldPosition="0"/>
    </format>
    <format dxfId="10">
      <pivotArea dataOnly="0" labelOnly="1" fieldPosition="0">
        <references count="1">
          <reference field="23" count="0"/>
        </references>
      </pivotArea>
    </format>
    <format dxfId="9">
      <pivotArea dataOnly="0" labelOnly="1" grandCol="1" outline="0" fieldPosition="0"/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4">
        <item x="0"/>
        <item m="1" x="2"/>
        <item m="1" x="1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grandCol="1" outline="0" fieldPosition="0"/>
    </format>
    <format dxfId="57">
      <pivotArea type="origin" dataOnly="0" labelOnly="1" outline="0" fieldPosition="0"/>
    </format>
    <format dxfId="56">
      <pivotArea field="20" type="button" dataOnly="0" labelOnly="1" outline="0" axis="axisCol" fieldPosition="1"/>
    </format>
    <format dxfId="55">
      <pivotArea type="topRight" dataOnly="0" labelOnly="1" outline="0" fieldPosition="0"/>
    </format>
    <format dxfId="54">
      <pivotArea dataOnly="0" labelOnly="1" grandCol="1" outline="0" fieldPosition="0"/>
    </format>
    <format dxfId="53">
      <pivotArea type="all" dataOnly="0" outline="0" fieldPosition="0"/>
    </format>
    <format dxfId="52">
      <pivotArea field="20" type="button" dataOnly="0" labelOnly="1" outline="0" axis="axisCol" fieldPosition="1"/>
    </format>
    <format dxfId="51">
      <pivotArea type="topRight" dataOnly="0" labelOnly="1" outline="0" fieldPosition="0"/>
    </format>
    <format dxfId="50">
      <pivotArea type="topRight" dataOnly="0" labelOnly="1" outline="0" offset="C1" fieldPosition="0"/>
    </format>
    <format dxfId="49">
      <pivotArea dataOnly="0" labelOnly="1" grandCol="1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20" type="button" dataOnly="0" labelOnly="1" outline="0" axis="axisCol" fieldPosition="1"/>
    </format>
    <format dxfId="45">
      <pivotArea type="topRight" dataOnly="0" labelOnly="1" outline="0" fieldPosition="0"/>
    </format>
    <format dxfId="44">
      <pivotArea dataOnly="0" labelOnly="1" grandCol="1" outline="0" fieldPosition="0"/>
    </format>
    <format dxfId="43">
      <pivotArea type="origin" dataOnly="0" labelOnly="1" outline="0" fieldPosition="0"/>
    </format>
    <format dxfId="42">
      <pivotArea field="20" type="button" dataOnly="0" labelOnly="1" outline="0" axis="axisCol" fieldPosition="1"/>
    </format>
    <format dxfId="41">
      <pivotArea type="topRight" dataOnly="0" labelOnly="1" outline="0" fieldPosition="0"/>
    </format>
    <format dxfId="40">
      <pivotArea dataOnly="0" labelOnly="1" grandCol="1" outline="0" fieldPosition="0"/>
    </format>
    <format dxfId="39">
      <pivotArea grandRow="1" outline="0" collapsedLevelsAreSubtotals="1" fieldPosition="0"/>
    </format>
    <format dxfId="38">
      <pivotArea dataOnly="0" labelOnly="1" grandRow="1" outline="0" fieldPosition="0"/>
    </format>
    <format dxfId="37">
      <pivotArea grandRow="1" outline="0" collapsedLevelsAreSubtotals="1" fieldPosition="0"/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20" count="0"/>
        </references>
      </pivotArea>
    </format>
    <format dxfId="34">
      <pivotArea dataOnly="0" labelOnly="1" fieldPosition="0">
        <references count="1">
          <reference field="20" count="0"/>
        </references>
      </pivotArea>
    </format>
    <format dxfId="33">
      <pivotArea dataOnly="0" labelOnly="1" fieldPosition="0">
        <references count="1">
          <reference field="20" count="0"/>
        </references>
      </pivotArea>
    </format>
    <format dxfId="32">
      <pivotArea dataOnly="0" labelOnly="1" fieldPosition="0">
        <references count="1">
          <reference field="20" count="0"/>
        </references>
      </pivotArea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field="-2" type="button" dataOnly="0" labelOnly="1" outline="0" axis="axisCol" fieldPosition="0"/>
    </format>
    <format dxfId="29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0"/>
  <sheetViews>
    <sheetView showGridLines="0" tabSelected="1" zoomScale="80" zoomScaleNormal="80" workbookViewId="0">
      <selection activeCell="N10" sqref="N10"/>
    </sheetView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47" t="s">
        <v>36</v>
      </c>
      <c r="D2" s="48"/>
      <c r="E2" s="48"/>
      <c r="F2" s="48"/>
      <c r="G2" s="49"/>
    </row>
    <row r="9" spans="3:7">
      <c r="E9" s="11"/>
    </row>
    <row r="15" spans="3:7" s="1" customFormat="1"/>
    <row r="16" spans="3:7" s="1" customFormat="1"/>
    <row r="17" spans="3:3" s="1" customFormat="1"/>
    <row r="18" spans="3:3" s="1" customFormat="1"/>
    <row r="19" spans="3:3" s="1" customFormat="1"/>
    <row r="20" spans="3:3" s="1" customFormat="1"/>
    <row r="21" spans="3:3" s="1" customFormat="1"/>
    <row r="22" spans="3:3" s="1" customFormat="1"/>
    <row r="26" spans="3:3">
      <c r="C26" s="11"/>
    </row>
    <row r="27" spans="3:3">
      <c r="C27" s="11"/>
    </row>
    <row r="37" spans="3:9">
      <c r="C37" s="11"/>
    </row>
    <row r="39" spans="3:9">
      <c r="I39" s="31"/>
    </row>
    <row r="40" spans="3:9">
      <c r="I40" s="11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50"/>
  <sheetViews>
    <sheetView zoomScale="80" zoomScaleNormal="80" workbookViewId="0">
      <selection activeCell="A34" sqref="A34"/>
    </sheetView>
  </sheetViews>
  <sheetFormatPr defaultColWidth="7.7109375" defaultRowHeight="12.75"/>
  <cols>
    <col min="1" max="1" width="28.85546875" customWidth="1"/>
    <col min="2" max="2" width="12.85546875" customWidth="1"/>
    <col min="3" max="3" width="15" customWidth="1"/>
    <col min="4" max="4" width="21.7109375" bestFit="1" customWidth="1"/>
    <col min="5" max="5" width="20.85546875" bestFit="1" customWidth="1"/>
    <col min="6" max="8" width="17.5703125" bestFit="1" customWidth="1"/>
    <col min="9" max="9" width="12.5703125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22</v>
      </c>
    </row>
    <row r="2" spans="1:12" s="1" customFormat="1" ht="15">
      <c r="A2" s="2"/>
    </row>
    <row r="3" spans="1:12">
      <c r="A3" s="37"/>
      <c r="B3" s="37" t="s">
        <v>21</v>
      </c>
      <c r="C3" s="37"/>
      <c r="D3" s="38"/>
      <c r="E3" s="39"/>
    </row>
    <row r="4" spans="1:12" ht="33.950000000000003" customHeight="1">
      <c r="A4" s="37"/>
      <c r="B4" s="37" t="s">
        <v>30</v>
      </c>
      <c r="C4" s="37" t="s">
        <v>20</v>
      </c>
      <c r="D4" s="40" t="s">
        <v>38</v>
      </c>
      <c r="E4" s="40" t="s">
        <v>39</v>
      </c>
    </row>
    <row r="5" spans="1:12">
      <c r="A5" s="37" t="s">
        <v>3</v>
      </c>
      <c r="B5" s="45" t="s">
        <v>40</v>
      </c>
      <c r="C5" s="45" t="s">
        <v>40</v>
      </c>
      <c r="D5" s="41"/>
      <c r="E5" s="41"/>
    </row>
    <row r="6" spans="1:12">
      <c r="A6" s="27" t="s">
        <v>40</v>
      </c>
      <c r="B6" s="8" t="e">
        <v>#N/A</v>
      </c>
      <c r="C6" s="8"/>
      <c r="D6" s="8" t="e">
        <v>#N/A</v>
      </c>
      <c r="E6" s="8"/>
    </row>
    <row r="7" spans="1:12">
      <c r="A7" s="43" t="s">
        <v>41</v>
      </c>
      <c r="B7" s="42" t="e">
        <v>#N/A</v>
      </c>
      <c r="C7" s="42"/>
      <c r="D7" s="42" t="e">
        <v>#N/A</v>
      </c>
      <c r="E7" s="42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  <c r="H12"/>
      <c r="I12"/>
      <c r="J12"/>
      <c r="K12"/>
    </row>
    <row r="13" spans="1:12" s="1" customFormat="1">
      <c r="A13"/>
      <c r="B13"/>
      <c r="C13"/>
      <c r="D13"/>
      <c r="E13"/>
      <c r="F13"/>
      <c r="G13"/>
      <c r="H13"/>
      <c r="I13"/>
      <c r="J13"/>
      <c r="K13"/>
    </row>
    <row r="14" spans="1:12" s="1" customFormat="1">
      <c r="A14"/>
      <c r="B14"/>
      <c r="C14"/>
      <c r="D14"/>
      <c r="E14"/>
      <c r="F14"/>
      <c r="G14"/>
      <c r="H14"/>
      <c r="I14"/>
      <c r="J14"/>
      <c r="K14"/>
    </row>
    <row r="15" spans="1:12" s="1" customForma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5">
      <c r="A16" s="2" t="s">
        <v>34</v>
      </c>
    </row>
    <row r="17" spans="1:10">
      <c r="A17" s="37" t="s">
        <v>20</v>
      </c>
      <c r="B17" s="37" t="s">
        <v>4</v>
      </c>
      <c r="C17" s="37"/>
    </row>
    <row r="18" spans="1:10">
      <c r="A18" s="37" t="s">
        <v>3</v>
      </c>
      <c r="B18" s="37" t="s">
        <v>33</v>
      </c>
      <c r="C18" s="37" t="s">
        <v>41</v>
      </c>
    </row>
    <row r="19" spans="1:10" s="9" customFormat="1">
      <c r="A19" s="3" t="s">
        <v>40</v>
      </c>
      <c r="B19" s="4"/>
      <c r="C19" s="4"/>
      <c r="D19"/>
      <c r="E19"/>
      <c r="F19"/>
      <c r="G19"/>
      <c r="H19"/>
      <c r="I19"/>
      <c r="J19"/>
    </row>
    <row r="20" spans="1:10" s="9" customFormat="1">
      <c r="A20" s="44" t="s">
        <v>41</v>
      </c>
      <c r="B20" s="46"/>
      <c r="C20" s="46"/>
      <c r="D20"/>
      <c r="E20"/>
      <c r="F20"/>
      <c r="G20"/>
      <c r="H20"/>
      <c r="I20"/>
      <c r="J20"/>
    </row>
    <row r="21" spans="1:10" s="9" customFormat="1">
      <c r="A21"/>
      <c r="B21"/>
      <c r="C21"/>
      <c r="D21"/>
      <c r="E21"/>
      <c r="F21"/>
      <c r="G21"/>
      <c r="H21"/>
      <c r="I21"/>
      <c r="J21"/>
    </row>
    <row r="22" spans="1:10" s="9" customFormat="1">
      <c r="A22"/>
      <c r="B22"/>
      <c r="C22"/>
      <c r="D22"/>
      <c r="E22"/>
      <c r="F22"/>
      <c r="G22"/>
      <c r="H22"/>
      <c r="I22"/>
      <c r="J22"/>
    </row>
    <row r="23" spans="1:10" s="9" customFormat="1">
      <c r="A23"/>
      <c r="B23"/>
      <c r="C23"/>
      <c r="D23"/>
      <c r="E23"/>
      <c r="F23"/>
      <c r="G23"/>
      <c r="H23"/>
      <c r="I23"/>
      <c r="J23"/>
    </row>
    <row r="24" spans="1:10" s="9" customFormat="1">
      <c r="A24"/>
      <c r="B24"/>
      <c r="C24"/>
      <c r="D24"/>
      <c r="E24"/>
      <c r="F24"/>
      <c r="G24"/>
      <c r="H24"/>
      <c r="I24"/>
      <c r="J24"/>
    </row>
    <row r="25" spans="1:10" s="9" customFormat="1">
      <c r="A25"/>
      <c r="B25"/>
      <c r="C25"/>
      <c r="D25"/>
      <c r="E25"/>
      <c r="F25"/>
      <c r="G25"/>
      <c r="H25"/>
      <c r="I25"/>
      <c r="J25"/>
    </row>
    <row r="26" spans="1:10" s="9" customFormat="1">
      <c r="A26"/>
      <c r="B26"/>
      <c r="C26"/>
      <c r="D26"/>
      <c r="E26"/>
      <c r="F26"/>
      <c r="G26"/>
      <c r="H26"/>
      <c r="I26"/>
      <c r="J26"/>
    </row>
    <row r="27" spans="1:10" s="9" customFormat="1">
      <c r="A27"/>
      <c r="B27"/>
      <c r="C27"/>
      <c r="D27"/>
      <c r="E27"/>
      <c r="F27"/>
      <c r="G27"/>
      <c r="H27"/>
      <c r="I27"/>
      <c r="J27"/>
    </row>
    <row r="28" spans="1:10" s="9" customFormat="1">
      <c r="A28"/>
      <c r="B28"/>
      <c r="C28"/>
      <c r="D28"/>
      <c r="E28"/>
      <c r="F28"/>
      <c r="G28"/>
      <c r="H28"/>
      <c r="I28"/>
      <c r="J28"/>
    </row>
    <row r="29" spans="1:10" s="9" customFormat="1">
      <c r="A29"/>
      <c r="B29"/>
      <c r="C29"/>
      <c r="D29"/>
      <c r="E29"/>
      <c r="F29"/>
      <c r="G29"/>
      <c r="H29"/>
      <c r="I29"/>
      <c r="J29"/>
    </row>
    <row r="30" spans="1:10" s="9" customFormat="1">
      <c r="A30"/>
      <c r="B30"/>
      <c r="C30"/>
      <c r="D30"/>
      <c r="E30"/>
      <c r="F30"/>
      <c r="G30"/>
      <c r="H30"/>
      <c r="I30"/>
      <c r="J30"/>
    </row>
    <row r="31" spans="1:10" s="9" customFormat="1">
      <c r="A31"/>
      <c r="B31"/>
      <c r="C31"/>
      <c r="D31"/>
      <c r="E31"/>
      <c r="F31"/>
      <c r="G31"/>
      <c r="H31"/>
      <c r="I31"/>
      <c r="J31"/>
    </row>
    <row r="32" spans="1:10" s="9" customFormat="1">
      <c r="A32"/>
      <c r="B32"/>
      <c r="C32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 ht="14.45" customHeigh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Z2"/>
  <sheetViews>
    <sheetView zoomScale="80" zoomScaleNormal="80" workbookViewId="0">
      <pane xSplit="10" ySplit="2" topLeftCell="K3" activePane="bottomRight" state="frozen"/>
      <selection activeCell="E28" sqref="E28"/>
      <selection pane="topRight" activeCell="E28" sqref="E28"/>
      <selection pane="bottomLeft" activeCell="E28" sqref="E28"/>
      <selection pane="bottomRight" activeCell="A2" sqref="A2"/>
    </sheetView>
  </sheetViews>
  <sheetFormatPr defaultRowHeight="12.75"/>
  <cols>
    <col min="1" max="1" width="12" style="12" bestFit="1" customWidth="1"/>
    <col min="2" max="2" width="21.42578125" style="12" bestFit="1" customWidth="1"/>
    <col min="3" max="3" width="28.42578125" style="12" bestFit="1" customWidth="1"/>
    <col min="4" max="4" width="18.85546875" style="12" bestFit="1" customWidth="1"/>
    <col min="5" max="5" width="14.85546875" style="12" bestFit="1" customWidth="1"/>
    <col min="6" max="6" width="16" style="12" bestFit="1" customWidth="1"/>
    <col min="7" max="7" width="19.28515625" style="15" bestFit="1" customWidth="1"/>
    <col min="8" max="8" width="18" style="12" bestFit="1" customWidth="1"/>
    <col min="9" max="10" width="15.140625" style="12" bestFit="1" customWidth="1"/>
    <col min="11" max="11" width="14.85546875" style="12" bestFit="1" customWidth="1"/>
    <col min="12" max="12" width="11.7109375" style="12" bestFit="1" customWidth="1"/>
    <col min="13" max="13" width="26" style="12" bestFit="1" customWidth="1"/>
    <col min="14" max="14" width="23.42578125" style="12" bestFit="1" customWidth="1"/>
    <col min="15" max="15" width="28.5703125" style="15" bestFit="1" customWidth="1"/>
    <col min="16" max="16" width="22.85546875" style="29" bestFit="1" customWidth="1"/>
    <col min="17" max="17" width="22.140625" style="12" bestFit="1" customWidth="1"/>
    <col min="18" max="18" width="13.7109375" style="12" bestFit="1" customWidth="1"/>
    <col min="19" max="19" width="20.85546875" style="12" bestFit="1" customWidth="1"/>
    <col min="20" max="20" width="18.42578125" style="12" bestFit="1" customWidth="1"/>
    <col min="21" max="21" width="29.42578125" style="12" bestFit="1" customWidth="1"/>
    <col min="22" max="22" width="15.5703125" style="12" bestFit="1" customWidth="1"/>
    <col min="23" max="23" width="17.85546875" style="12" bestFit="1" customWidth="1"/>
    <col min="24" max="24" width="13" style="12" bestFit="1" customWidth="1"/>
    <col min="25" max="25" width="13.5703125" style="12" bestFit="1" customWidth="1"/>
    <col min="26" max="26" width="15.140625" style="36" bestFit="1" customWidth="1"/>
  </cols>
  <sheetData>
    <row r="1" spans="1:26" s="1" customFormat="1" ht="44.1" customHeight="1">
      <c r="A1" s="13" t="s">
        <v>35</v>
      </c>
      <c r="B1" s="18" t="s">
        <v>7</v>
      </c>
      <c r="C1" s="33" t="s">
        <v>8</v>
      </c>
      <c r="D1" s="18" t="s">
        <v>0</v>
      </c>
      <c r="E1" s="19" t="s">
        <v>9</v>
      </c>
      <c r="F1" s="18" t="s">
        <v>10</v>
      </c>
      <c r="G1" s="20" t="s">
        <v>11</v>
      </c>
      <c r="H1" s="18" t="s">
        <v>1</v>
      </c>
      <c r="I1" s="21" t="s">
        <v>31</v>
      </c>
      <c r="J1" s="32" t="s">
        <v>32</v>
      </c>
      <c r="K1" s="18" t="s">
        <v>12</v>
      </c>
      <c r="L1" s="18" t="s">
        <v>2</v>
      </c>
      <c r="M1" s="18" t="s">
        <v>13</v>
      </c>
      <c r="N1" s="18" t="s">
        <v>14</v>
      </c>
      <c r="O1" s="20" t="s">
        <v>15</v>
      </c>
      <c r="P1" s="28" t="s">
        <v>37</v>
      </c>
      <c r="Q1" s="22" t="s">
        <v>28</v>
      </c>
      <c r="R1" s="23" t="s">
        <v>29</v>
      </c>
      <c r="S1" s="24" t="s">
        <v>17</v>
      </c>
      <c r="T1" s="23" t="s">
        <v>18</v>
      </c>
      <c r="U1" s="23" t="s">
        <v>19</v>
      </c>
      <c r="V1" s="23" t="s">
        <v>16</v>
      </c>
      <c r="W1" s="23" t="s">
        <v>5</v>
      </c>
      <c r="X1" s="23" t="s">
        <v>4</v>
      </c>
      <c r="Y1" s="24" t="s">
        <v>3</v>
      </c>
      <c r="Z1" s="34" t="s">
        <v>6</v>
      </c>
    </row>
    <row r="2" spans="1:26" s="1" customFormat="1">
      <c r="A2" s="12"/>
      <c r="B2" s="12"/>
      <c r="C2" s="25"/>
      <c r="D2" s="12"/>
      <c r="E2" s="12"/>
      <c r="F2" s="12"/>
      <c r="G2" s="15"/>
      <c r="H2" s="12"/>
      <c r="I2" s="12"/>
      <c r="J2" s="25" t="e">
        <f t="shared" ref="J2" ca="1" si="0">_xlfn.CONCAT(H2,I2)</f>
        <v>#NAME?</v>
      </c>
      <c r="K2" s="12"/>
      <c r="L2" s="12"/>
      <c r="M2" s="12"/>
      <c r="N2" s="12"/>
      <c r="O2" s="15"/>
      <c r="P2" s="29"/>
      <c r="Q2" s="30" t="e">
        <f t="shared" ref="Q2" si="1">R2*E2</f>
        <v>#N/A</v>
      </c>
      <c r="R2" s="26" t="e">
        <f>VLOOKUP(F2,EX.RATES!$B:$E,4,FALSE)</f>
        <v>#N/A</v>
      </c>
      <c r="S2" s="14" t="str">
        <f t="shared" ref="S2" si="2">IF(M2=0,"-",IF(M2&lt;0,"LIV - Quantity Discrepancy",IF(M2&gt;0,"LIV - Quantity Discrepancy")))</f>
        <v>-</v>
      </c>
      <c r="T2" s="14" t="str">
        <f t="shared" ref="T2" si="3">IF(N2=0,"-",IF(N2&lt;0,"LIV - Price Discrepancy",IF(N2&gt;0,"LIV - Price Discrepancy")))</f>
        <v>-</v>
      </c>
      <c r="U2" s="12"/>
      <c r="V2" s="15">
        <f t="shared" ref="V2" si="4">O2+P2</f>
        <v>0</v>
      </c>
      <c r="W2" s="16">
        <f t="shared" ref="W2" ca="1" si="5">TODAY()-V2</f>
        <v>45472</v>
      </c>
      <c r="X2" s="17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10"/>
      <c r="Z2" s="35"/>
    </row>
  </sheetData>
  <autoFilter ref="A1:Z2">
    <sortState ref="A2:Z629">
      <sortCondition ref="Y1:Y171"/>
      <sortCondition ref="Z1:Z139"/>
    </sortState>
  </autoFilter>
  <sortState ref="A2:Z2">
    <sortCondition ref="Y2"/>
    <sortCondition ref="Z2"/>
  </sortState>
  <phoneticPr fontId="36" type="noConversion"/>
  <conditionalFormatting sqref="J1">
    <cfRule type="duplicateValues" dxfId="3" priority="3"/>
  </conditionalFormatting>
  <conditionalFormatting sqref="C1:C2">
    <cfRule type="duplicateValues" dxfId="2" priority="2"/>
  </conditionalFormatting>
  <conditionalFormatting sqref="C1:C1048576">
    <cfRule type="duplicateValues" dxfId="1" priority="1"/>
  </conditionalFormatting>
  <conditionalFormatting sqref="J2">
    <cfRule type="duplicateValues" dxfId="0" priority="138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H1"/>
  <sheetViews>
    <sheetView zoomScale="85" zoomScaleNormal="85" workbookViewId="0"/>
  </sheetViews>
  <sheetFormatPr defaultRowHeight="12.75"/>
  <cols>
    <col min="1" max="1" width="10.7109375" style="7" bestFit="1" customWidth="1"/>
    <col min="2" max="2" width="10.7109375" style="7" customWidth="1"/>
    <col min="3" max="3" width="9.140625" style="7" bestFit="1" customWidth="1"/>
    <col min="4" max="4" width="12.140625" style="7" bestFit="1" customWidth="1"/>
    <col min="5" max="5" width="13" style="7" bestFit="1" customWidth="1"/>
    <col min="6" max="6" width="21.7109375" customWidth="1"/>
  </cols>
  <sheetData>
    <row r="1" spans="1:8" ht="25.5">
      <c r="A1" s="5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G1" s="1"/>
      <c r="H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2024-06-29T12:07:57Z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