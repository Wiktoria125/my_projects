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kto\Desktop\VBA\0 my macros UWAGA NA DANE FIRMOWE\0 github macros\"/>
    </mc:Choice>
  </mc:AlternateContent>
  <xr:revisionPtr revIDLastSave="0" documentId="13_ncr:1_{85FE5D96-E680-4AAA-B545-085A1614898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CRO" sheetId="60" r:id="rId1"/>
    <sheet name="Summary" sheetId="53" r:id="rId2"/>
    <sheet name="Blocked for payment_details" sheetId="2" r:id="rId3"/>
    <sheet name="EX.RATES" sheetId="54" r:id="rId4"/>
    <sheet name="Country_owner" sheetId="61" r:id="rId5"/>
  </sheets>
  <definedNames>
    <definedName name="_xlnm._FilterDatabase" localSheetId="2" hidden="1">'Blocked for payment_details'!$A$1:$Z$2</definedName>
    <definedName name="_xlnm._FilterDatabase" localSheetId="4" hidden="1">Country_owner!$A$1:$E$1</definedName>
    <definedName name="_xlnm._FilterDatabase" localSheetId="3" hidden="1">EX.RATES!$A$1:$H$1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2" l="1"/>
  <c r="V2" i="2"/>
  <c r="W2" i="2" s="1"/>
  <c r="X2" i="2" s="1"/>
  <c r="T2" i="2"/>
  <c r="S2" i="2"/>
  <c r="R2" i="2"/>
  <c r="Q2" i="2" s="1"/>
  <c r="J2" i="2"/>
</calcChain>
</file>

<file path=xl/sharedStrings.xml><?xml version="1.0" encoding="utf-8"?>
<sst xmlns="http://schemas.openxmlformats.org/spreadsheetml/2006/main" count="55" uniqueCount="46">
  <si>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</si>
  <si>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</si>
  <si>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</si>
  <si>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</si>
  <si>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</si>
  <si>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</si>
  <si>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</si>
  <si>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</si>
  <si>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</si>
  <si>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</si>
  <si>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</si>
  <si>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</si>
  <si>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</si>
  <si>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</si>
  <si>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</si>
  <si>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</si>
  <si>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</si>
  <si>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</si>
  <si>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</si>
  <si>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</si>
  <si>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</si>
  <si>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</si>
  <si>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</si>
  <si>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</si>
  <si>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</si>
  <si>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</si>
  <si>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</si>
  <si>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</si>
  <si>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</si>
  <si>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</si>
  <si>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</si>
  <si>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</si>
  <si>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</si>
  <si>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</si>
  <si>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</si>
  <si>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</si>
  <si>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</si>
  <si>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Payment Terms
(60 days)</t>
  </si>
  <si>
    <t>PFE Entity Code</t>
  </si>
  <si>
    <t>Country Location</t>
  </si>
  <si>
    <t>Region</t>
  </si>
  <si>
    <t>Razem: Sum of Amount in USD</t>
  </si>
  <si>
    <t>Razem: Count of Invoice Document No.</t>
  </si>
  <si>
    <t>(puste)</t>
  </si>
  <si>
    <t>#N/D!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</si>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</sst>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.0000000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2"/>
      <color rgb="FF000000"/>
      <name val="Calibri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43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7"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5" fontId="0" fillId="0" borderId="11" xfId="0" applyNumberFormat="1" applyBorder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8" borderId="1" xfId="0" applyFont="1" applyFill="1" applyBorder="1" applyAlignment="1">
      <alignment horizontal="center" vertical="center"/>
    </xf>
    <xf numFmtId="165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2" fontId="0" fillId="0" borderId="0" xfId="120" applyNumberFormat="1" applyFont="1" applyAlignment="1">
      <alignment horizontal="center" vertical="center"/>
    </xf>
    <xf numFmtId="0" fontId="38" fillId="0" borderId="0" xfId="0" applyFont="1" applyAlignment="1">
      <alignment vertical="top"/>
    </xf>
    <xf numFmtId="0" fontId="16" fillId="35" borderId="1" xfId="0" applyFont="1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37" borderId="11" xfId="0" applyFont="1" applyFill="1" applyBorder="1" applyAlignment="1">
      <alignment vertical="top"/>
    </xf>
    <xf numFmtId="0" fontId="40" fillId="37" borderId="12" xfId="0" applyFont="1" applyFill="1" applyBorder="1" applyAlignment="1">
      <alignment vertical="top"/>
    </xf>
    <xf numFmtId="0" fontId="40" fillId="37" borderId="13" xfId="0" applyFont="1" applyFill="1" applyBorder="1" applyAlignment="1">
      <alignment vertical="top"/>
    </xf>
    <xf numFmtId="0" fontId="40" fillId="37" borderId="14" xfId="0" applyFont="1" applyFill="1" applyBorder="1" applyAlignment="1">
      <alignment horizontal="center" vertical="center" wrapText="1"/>
    </xf>
    <xf numFmtId="0" fontId="40" fillId="37" borderId="15" xfId="0" applyFont="1" applyFill="1" applyBorder="1" applyAlignment="1">
      <alignment horizontal="center" vertical="center" wrapText="1"/>
    </xf>
    <xf numFmtId="165" fontId="41" fillId="37" borderId="11" xfId="0" applyNumberFormat="1" applyFont="1" applyFill="1" applyBorder="1" applyAlignment="1">
      <alignment vertical="top"/>
    </xf>
    <xf numFmtId="0" fontId="41" fillId="37" borderId="11" xfId="0" applyFont="1" applyFill="1" applyBorder="1" applyAlignment="1">
      <alignment horizontal="left" vertical="top"/>
    </xf>
    <xf numFmtId="0" fontId="41" fillId="37" borderId="11" xfId="0" applyFont="1" applyFill="1" applyBorder="1" applyAlignment="1">
      <alignment vertical="top"/>
    </xf>
    <xf numFmtId="0" fontId="41" fillId="37" borderId="11" xfId="0" applyFont="1" applyFill="1" applyBorder="1" applyAlignment="1">
      <alignment vertical="top" wrapText="1"/>
    </xf>
    <xf numFmtId="0" fontId="42" fillId="0" borderId="0" xfId="0" applyFont="1" applyAlignment="1">
      <alignment vertical="top"/>
    </xf>
    <xf numFmtId="0" fontId="42" fillId="0" borderId="0" xfId="0" applyFont="1" applyAlignment="1">
      <alignment horizontal="left" vertical="top"/>
    </xf>
    <xf numFmtId="0" fontId="43" fillId="3" borderId="0" xfId="0" applyFont="1" applyFill="1" applyAlignment="1">
      <alignment horizontal="center" vertical="center" wrapText="1"/>
    </xf>
    <xf numFmtId="0" fontId="43" fillId="3" borderId="0" xfId="0" applyFont="1" applyFill="1" applyAlignment="1">
      <alignment horizontal="left" vertical="center" wrapText="1"/>
    </xf>
    <xf numFmtId="0" fontId="44" fillId="3" borderId="0" xfId="0" applyFont="1" applyFill="1" applyAlignment="1">
      <alignment horizontal="center" vertical="center" wrapText="1"/>
    </xf>
    <xf numFmtId="0" fontId="37" fillId="36" borderId="16" xfId="0" applyFont="1" applyFill="1" applyBorder="1" applyAlignment="1">
      <alignment horizontal="center" vertical="center"/>
    </xf>
    <xf numFmtId="0" fontId="37" fillId="36" borderId="17" xfId="0" applyFont="1" applyFill="1" applyBorder="1" applyAlignment="1">
      <alignment horizontal="center" vertical="center"/>
    </xf>
    <xf numFmtId="0" fontId="37" fillId="36" borderId="18" xfId="0" applyFont="1" applyFill="1" applyBorder="1" applyAlignment="1">
      <alignment horizontal="center" vertical="center"/>
    </xf>
  </cellXfs>
  <cellStyles count="315">
    <cellStyle name="20% — akcent 1" xfId="88" builtinId="30" customBuiltin="1"/>
    <cellStyle name="20% — akcent 2" xfId="92" builtinId="34" customBuiltin="1"/>
    <cellStyle name="20% — akcent 3" xfId="96" builtinId="38" customBuiltin="1"/>
    <cellStyle name="20% — akcent 4" xfId="100" builtinId="42" customBuiltin="1"/>
    <cellStyle name="20% — akcent 5" xfId="104" builtinId="46" customBuiltin="1"/>
    <cellStyle name="20% — akcent 6" xfId="108" builtinId="50" customBuiltin="1"/>
    <cellStyle name="40% — akcent 1" xfId="89" builtinId="31" customBuiltin="1"/>
    <cellStyle name="40% — akcent 2" xfId="93" builtinId="35" customBuiltin="1"/>
    <cellStyle name="40% — akcent 3" xfId="97" builtinId="39" customBuiltin="1"/>
    <cellStyle name="40% — akcent 4" xfId="101" builtinId="43" customBuiltin="1"/>
    <cellStyle name="40% — akcent 5" xfId="105" builtinId="47" customBuiltin="1"/>
    <cellStyle name="40% — akcent 6" xfId="109" builtinId="51" customBuiltin="1"/>
    <cellStyle name="60% — akcent 1" xfId="90" builtinId="32" customBuiltin="1"/>
    <cellStyle name="60% — akcent 2" xfId="94" builtinId="36" customBuiltin="1"/>
    <cellStyle name="60% — akcent 3" xfId="98" builtinId="40" customBuiltin="1"/>
    <cellStyle name="60% — akcent 4" xfId="102" builtinId="44" customBuiltin="1"/>
    <cellStyle name="60% — akcent 5" xfId="106" builtinId="48" customBuiltin="1"/>
    <cellStyle name="60% —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 xr:uid="{00000000-0005-0000-0000-000018000000}"/>
    <cellStyle name="Comma 3" xfId="115" xr:uid="{00000000-0005-0000-0000-000019000000}"/>
    <cellStyle name="Comma 4" xfId="120" xr:uid="{00000000-0005-0000-0000-00001A000000}"/>
    <cellStyle name="Comma 4 2" xfId="123" xr:uid="{00000000-0005-0000-0000-00001B000000}"/>
    <cellStyle name="Dane wejściowe" xfId="79" builtinId="20" customBuiltin="1"/>
    <cellStyle name="Dane wyjściowe" xfId="80" builtinId="21" customBuiltin="1"/>
    <cellStyle name="Dobry" xfId="76" builtinId="26" customBuiltin="1"/>
    <cellStyle name="Hyperlink 2" xfId="54" xr:uid="{00000000-0005-0000-0000-00001F000000}"/>
    <cellStyle name="Hyperlink 2 2" xfId="169" xr:uid="{00000000-0005-0000-0000-000020000000}"/>
    <cellStyle name="Hyperlink 2 3" xfId="121" xr:uid="{00000000-0005-0000-0000-000021000000}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y" xfId="78" builtinId="28" customBuiltin="1"/>
    <cellStyle name="Normal 2" xfId="3" xr:uid="{00000000-0005-0000-0000-000029000000}"/>
    <cellStyle name="Normal 2 2" xfId="1" xr:uid="{00000000-0005-0000-0000-00002A000000}"/>
    <cellStyle name="Normal 2 2 2" xfId="125" xr:uid="{00000000-0005-0000-0000-00002B000000}"/>
    <cellStyle name="Normal 2 2 3" xfId="118" xr:uid="{00000000-0005-0000-0000-00002C000000}"/>
    <cellStyle name="Normal 2 3" xfId="5" xr:uid="{00000000-0005-0000-0000-00002D000000}"/>
    <cellStyle name="Normal 2 3 2" xfId="6" xr:uid="{00000000-0005-0000-0000-00002E000000}"/>
    <cellStyle name="Normal 2 3 2 2" xfId="14" xr:uid="{00000000-0005-0000-0000-00002F000000}"/>
    <cellStyle name="Normal 2 4" xfId="7" xr:uid="{00000000-0005-0000-0000-000030000000}"/>
    <cellStyle name="Normal 2 5" xfId="191" xr:uid="{00000000-0005-0000-0000-000031000000}"/>
    <cellStyle name="Normal 3" xfId="2" xr:uid="{00000000-0005-0000-0000-000032000000}"/>
    <cellStyle name="Normal 3 2" xfId="10" xr:uid="{00000000-0005-0000-0000-000033000000}"/>
    <cellStyle name="Normal 3 2 2" xfId="17" xr:uid="{00000000-0005-0000-0000-000034000000}"/>
    <cellStyle name="Normal 3 2 2 2" xfId="32" xr:uid="{00000000-0005-0000-0000-000035000000}"/>
    <cellStyle name="Normal 3 2 2 2 2" xfId="63" xr:uid="{00000000-0005-0000-0000-000036000000}"/>
    <cellStyle name="Normal 3 2 2 2 2 2" xfId="178" xr:uid="{00000000-0005-0000-0000-000037000000}"/>
    <cellStyle name="Normal 3 2 2 2 2 3" xfId="244" xr:uid="{00000000-0005-0000-0000-000038000000}"/>
    <cellStyle name="Normal 3 2 2 2 2 4" xfId="308" xr:uid="{00000000-0005-0000-0000-000039000000}"/>
    <cellStyle name="Normal 3 2 2 2 3" xfId="147" xr:uid="{00000000-0005-0000-0000-00003A000000}"/>
    <cellStyle name="Normal 3 2 2 2 4" xfId="214" xr:uid="{00000000-0005-0000-0000-00003B000000}"/>
    <cellStyle name="Normal 3 2 2 2 5" xfId="278" xr:uid="{00000000-0005-0000-0000-00003C000000}"/>
    <cellStyle name="Normal 3 2 2 3" xfId="47" xr:uid="{00000000-0005-0000-0000-00003D000000}"/>
    <cellStyle name="Normal 3 2 2 3 2" xfId="162" xr:uid="{00000000-0005-0000-0000-00003E000000}"/>
    <cellStyle name="Normal 3 2 2 3 3" xfId="229" xr:uid="{00000000-0005-0000-0000-00003F000000}"/>
    <cellStyle name="Normal 3 2 2 3 4" xfId="293" xr:uid="{00000000-0005-0000-0000-000040000000}"/>
    <cellStyle name="Normal 3 2 2 4" xfId="132" xr:uid="{00000000-0005-0000-0000-000041000000}"/>
    <cellStyle name="Normal 3 2 2 5" xfId="199" xr:uid="{00000000-0005-0000-0000-000042000000}"/>
    <cellStyle name="Normal 3 2 2 6" xfId="263" xr:uid="{00000000-0005-0000-0000-000043000000}"/>
    <cellStyle name="Normal 3 2 3" xfId="22" xr:uid="{00000000-0005-0000-0000-000044000000}"/>
    <cellStyle name="Normal 3 2 3 2" xfId="37" xr:uid="{00000000-0005-0000-0000-000045000000}"/>
    <cellStyle name="Normal 3 2 3 2 2" xfId="68" xr:uid="{00000000-0005-0000-0000-000046000000}"/>
    <cellStyle name="Normal 3 2 3 2 2 2" xfId="183" xr:uid="{00000000-0005-0000-0000-000047000000}"/>
    <cellStyle name="Normal 3 2 3 2 2 3" xfId="249" xr:uid="{00000000-0005-0000-0000-000048000000}"/>
    <cellStyle name="Normal 3 2 3 2 2 4" xfId="313" xr:uid="{00000000-0005-0000-0000-000049000000}"/>
    <cellStyle name="Normal 3 2 3 2 3" xfId="152" xr:uid="{00000000-0005-0000-0000-00004A000000}"/>
    <cellStyle name="Normal 3 2 3 2 4" xfId="219" xr:uid="{00000000-0005-0000-0000-00004B000000}"/>
    <cellStyle name="Normal 3 2 3 2 5" xfId="283" xr:uid="{00000000-0005-0000-0000-00004C000000}"/>
    <cellStyle name="Normal 3 2 3 3" xfId="52" xr:uid="{00000000-0005-0000-0000-00004D000000}"/>
    <cellStyle name="Normal 3 2 3 3 2" xfId="167" xr:uid="{00000000-0005-0000-0000-00004E000000}"/>
    <cellStyle name="Normal 3 2 3 3 3" xfId="234" xr:uid="{00000000-0005-0000-0000-00004F000000}"/>
    <cellStyle name="Normal 3 2 3 3 4" xfId="298" xr:uid="{00000000-0005-0000-0000-000050000000}"/>
    <cellStyle name="Normal 3 2 3 4" xfId="137" xr:uid="{00000000-0005-0000-0000-000051000000}"/>
    <cellStyle name="Normal 3 2 3 5" xfId="204" xr:uid="{00000000-0005-0000-0000-000052000000}"/>
    <cellStyle name="Normal 3 2 3 6" xfId="268" xr:uid="{00000000-0005-0000-0000-000053000000}"/>
    <cellStyle name="Normal 3 2 4" xfId="27" xr:uid="{00000000-0005-0000-0000-000054000000}"/>
    <cellStyle name="Normal 3 2 4 2" xfId="58" xr:uid="{00000000-0005-0000-0000-000055000000}"/>
    <cellStyle name="Normal 3 2 4 2 2" xfId="173" xr:uid="{00000000-0005-0000-0000-000056000000}"/>
    <cellStyle name="Normal 3 2 4 2 3" xfId="239" xr:uid="{00000000-0005-0000-0000-000057000000}"/>
    <cellStyle name="Normal 3 2 4 2 4" xfId="303" xr:uid="{00000000-0005-0000-0000-000058000000}"/>
    <cellStyle name="Normal 3 2 4 3" xfId="142" xr:uid="{00000000-0005-0000-0000-000059000000}"/>
    <cellStyle name="Normal 3 2 4 4" xfId="209" xr:uid="{00000000-0005-0000-0000-00005A000000}"/>
    <cellStyle name="Normal 3 2 4 5" xfId="273" xr:uid="{00000000-0005-0000-0000-00005B000000}"/>
    <cellStyle name="Normal 3 2 5" xfId="42" xr:uid="{00000000-0005-0000-0000-00005C000000}"/>
    <cellStyle name="Normal 3 2 5 2" xfId="157" xr:uid="{00000000-0005-0000-0000-00005D000000}"/>
    <cellStyle name="Normal 3 2 5 3" xfId="224" xr:uid="{00000000-0005-0000-0000-00005E000000}"/>
    <cellStyle name="Normal 3 2 5 4" xfId="288" xr:uid="{00000000-0005-0000-0000-00005F000000}"/>
    <cellStyle name="Normal 3 2 6" xfId="127" xr:uid="{00000000-0005-0000-0000-000060000000}"/>
    <cellStyle name="Normal 3 2 7" xfId="194" xr:uid="{00000000-0005-0000-0000-000061000000}"/>
    <cellStyle name="Normal 3 2 8" xfId="258" xr:uid="{00000000-0005-0000-0000-000062000000}"/>
    <cellStyle name="Normal 3 3" xfId="12" xr:uid="{00000000-0005-0000-0000-000063000000}"/>
    <cellStyle name="Normal 3 3 2" xfId="29" xr:uid="{00000000-0005-0000-0000-000064000000}"/>
    <cellStyle name="Normal 3 3 2 2" xfId="60" xr:uid="{00000000-0005-0000-0000-000065000000}"/>
    <cellStyle name="Normal 3 3 2 2 2" xfId="175" xr:uid="{00000000-0005-0000-0000-000066000000}"/>
    <cellStyle name="Normal 3 3 2 2 3" xfId="241" xr:uid="{00000000-0005-0000-0000-000067000000}"/>
    <cellStyle name="Normal 3 3 2 2 4" xfId="305" xr:uid="{00000000-0005-0000-0000-000068000000}"/>
    <cellStyle name="Normal 3 3 2 3" xfId="144" xr:uid="{00000000-0005-0000-0000-000069000000}"/>
    <cellStyle name="Normal 3 3 2 4" xfId="211" xr:uid="{00000000-0005-0000-0000-00006A000000}"/>
    <cellStyle name="Normal 3 3 2 5" xfId="275" xr:uid="{00000000-0005-0000-0000-00006B000000}"/>
    <cellStyle name="Normal 3 3 3" xfId="44" xr:uid="{00000000-0005-0000-0000-00006C000000}"/>
    <cellStyle name="Normal 3 3 3 2" xfId="159" xr:uid="{00000000-0005-0000-0000-00006D000000}"/>
    <cellStyle name="Normal 3 3 3 3" xfId="226" xr:uid="{00000000-0005-0000-0000-00006E000000}"/>
    <cellStyle name="Normal 3 3 3 4" xfId="290" xr:uid="{00000000-0005-0000-0000-00006F000000}"/>
    <cellStyle name="Normal 3 3 4" xfId="129" xr:uid="{00000000-0005-0000-0000-000070000000}"/>
    <cellStyle name="Normal 3 3 5" xfId="196" xr:uid="{00000000-0005-0000-0000-000071000000}"/>
    <cellStyle name="Normal 3 3 6" xfId="260" xr:uid="{00000000-0005-0000-0000-000072000000}"/>
    <cellStyle name="Normal 3 4" xfId="19" xr:uid="{00000000-0005-0000-0000-000073000000}"/>
    <cellStyle name="Normal 3 4 2" xfId="34" xr:uid="{00000000-0005-0000-0000-000074000000}"/>
    <cellStyle name="Normal 3 4 2 2" xfId="65" xr:uid="{00000000-0005-0000-0000-000075000000}"/>
    <cellStyle name="Normal 3 4 2 2 2" xfId="180" xr:uid="{00000000-0005-0000-0000-000076000000}"/>
    <cellStyle name="Normal 3 4 2 2 3" xfId="246" xr:uid="{00000000-0005-0000-0000-000077000000}"/>
    <cellStyle name="Normal 3 4 2 2 4" xfId="310" xr:uid="{00000000-0005-0000-0000-000078000000}"/>
    <cellStyle name="Normal 3 4 2 3" xfId="149" xr:uid="{00000000-0005-0000-0000-000079000000}"/>
    <cellStyle name="Normal 3 4 2 4" xfId="216" xr:uid="{00000000-0005-0000-0000-00007A000000}"/>
    <cellStyle name="Normal 3 4 2 5" xfId="280" xr:uid="{00000000-0005-0000-0000-00007B000000}"/>
    <cellStyle name="Normal 3 4 3" xfId="49" xr:uid="{00000000-0005-0000-0000-00007C000000}"/>
    <cellStyle name="Normal 3 4 3 2" xfId="164" xr:uid="{00000000-0005-0000-0000-00007D000000}"/>
    <cellStyle name="Normal 3 4 3 3" xfId="231" xr:uid="{00000000-0005-0000-0000-00007E000000}"/>
    <cellStyle name="Normal 3 4 3 4" xfId="295" xr:uid="{00000000-0005-0000-0000-00007F000000}"/>
    <cellStyle name="Normal 3 4 4" xfId="134" xr:uid="{00000000-0005-0000-0000-000080000000}"/>
    <cellStyle name="Normal 3 4 5" xfId="201" xr:uid="{00000000-0005-0000-0000-000081000000}"/>
    <cellStyle name="Normal 3 4 6" xfId="265" xr:uid="{00000000-0005-0000-0000-000082000000}"/>
    <cellStyle name="Normal 3 5" xfId="24" xr:uid="{00000000-0005-0000-0000-000083000000}"/>
    <cellStyle name="Normal 3 5 2" xfId="55" xr:uid="{00000000-0005-0000-0000-000084000000}"/>
    <cellStyle name="Normal 3 5 2 2" xfId="170" xr:uid="{00000000-0005-0000-0000-000085000000}"/>
    <cellStyle name="Normal 3 5 2 3" xfId="236" xr:uid="{00000000-0005-0000-0000-000086000000}"/>
    <cellStyle name="Normal 3 5 2 4" xfId="300" xr:uid="{00000000-0005-0000-0000-000087000000}"/>
    <cellStyle name="Normal 3 5 3" xfId="139" xr:uid="{00000000-0005-0000-0000-000088000000}"/>
    <cellStyle name="Normal 3 5 4" xfId="206" xr:uid="{00000000-0005-0000-0000-000089000000}"/>
    <cellStyle name="Normal 3 5 5" xfId="270" xr:uid="{00000000-0005-0000-0000-00008A000000}"/>
    <cellStyle name="Normal 3 6" xfId="39" xr:uid="{00000000-0005-0000-0000-00008B000000}"/>
    <cellStyle name="Normal 3 6 2" xfId="154" xr:uid="{00000000-0005-0000-0000-00008C000000}"/>
    <cellStyle name="Normal 3 6 3" xfId="221" xr:uid="{00000000-0005-0000-0000-00008D000000}"/>
    <cellStyle name="Normal 3 6 4" xfId="285" xr:uid="{00000000-0005-0000-0000-00008E000000}"/>
    <cellStyle name="Normal 3 7" xfId="116" xr:uid="{00000000-0005-0000-0000-00008F000000}"/>
    <cellStyle name="Normal 3 7 2" xfId="190" xr:uid="{00000000-0005-0000-0000-000090000000}"/>
    <cellStyle name="Normal 3 7 3" xfId="255" xr:uid="{00000000-0005-0000-0000-000091000000}"/>
    <cellStyle name="Normal 3 8" xfId="185" xr:uid="{00000000-0005-0000-0000-000092000000}"/>
    <cellStyle name="Normal 3 9" xfId="251" xr:uid="{00000000-0005-0000-0000-000093000000}"/>
    <cellStyle name="Normal 4" xfId="4" xr:uid="{00000000-0005-0000-0000-000094000000}"/>
    <cellStyle name="Normal 4 2" xfId="11" xr:uid="{00000000-0005-0000-0000-000095000000}"/>
    <cellStyle name="Normal 4 2 2" xfId="18" xr:uid="{00000000-0005-0000-0000-000096000000}"/>
    <cellStyle name="Normal 4 2 2 2" xfId="33" xr:uid="{00000000-0005-0000-0000-000097000000}"/>
    <cellStyle name="Normal 4 2 2 2 2" xfId="64" xr:uid="{00000000-0005-0000-0000-000098000000}"/>
    <cellStyle name="Normal 4 2 2 2 2 2" xfId="179" xr:uid="{00000000-0005-0000-0000-000099000000}"/>
    <cellStyle name="Normal 4 2 2 2 2 3" xfId="245" xr:uid="{00000000-0005-0000-0000-00009A000000}"/>
    <cellStyle name="Normal 4 2 2 2 2 4" xfId="309" xr:uid="{00000000-0005-0000-0000-00009B000000}"/>
    <cellStyle name="Normal 4 2 2 2 3" xfId="148" xr:uid="{00000000-0005-0000-0000-00009C000000}"/>
    <cellStyle name="Normal 4 2 2 2 4" xfId="215" xr:uid="{00000000-0005-0000-0000-00009D000000}"/>
    <cellStyle name="Normal 4 2 2 2 5" xfId="279" xr:uid="{00000000-0005-0000-0000-00009E000000}"/>
    <cellStyle name="Normal 4 2 2 3" xfId="48" xr:uid="{00000000-0005-0000-0000-00009F000000}"/>
    <cellStyle name="Normal 4 2 2 3 2" xfId="163" xr:uid="{00000000-0005-0000-0000-0000A0000000}"/>
    <cellStyle name="Normal 4 2 2 3 3" xfId="230" xr:uid="{00000000-0005-0000-0000-0000A1000000}"/>
    <cellStyle name="Normal 4 2 2 3 4" xfId="294" xr:uid="{00000000-0005-0000-0000-0000A2000000}"/>
    <cellStyle name="Normal 4 2 2 4" xfId="133" xr:uid="{00000000-0005-0000-0000-0000A3000000}"/>
    <cellStyle name="Normal 4 2 2 5" xfId="200" xr:uid="{00000000-0005-0000-0000-0000A4000000}"/>
    <cellStyle name="Normal 4 2 2 6" xfId="264" xr:uid="{00000000-0005-0000-0000-0000A5000000}"/>
    <cellStyle name="Normal 4 2 3" xfId="23" xr:uid="{00000000-0005-0000-0000-0000A6000000}"/>
    <cellStyle name="Normal 4 2 3 2" xfId="38" xr:uid="{00000000-0005-0000-0000-0000A7000000}"/>
    <cellStyle name="Normal 4 2 3 2 2" xfId="69" xr:uid="{00000000-0005-0000-0000-0000A8000000}"/>
    <cellStyle name="Normal 4 2 3 2 2 2" xfId="184" xr:uid="{00000000-0005-0000-0000-0000A9000000}"/>
    <cellStyle name="Normal 4 2 3 2 2 3" xfId="250" xr:uid="{00000000-0005-0000-0000-0000AA000000}"/>
    <cellStyle name="Normal 4 2 3 2 2 4" xfId="314" xr:uid="{00000000-0005-0000-0000-0000AB000000}"/>
    <cellStyle name="Normal 4 2 3 2 3" xfId="153" xr:uid="{00000000-0005-0000-0000-0000AC000000}"/>
    <cellStyle name="Normal 4 2 3 2 4" xfId="220" xr:uid="{00000000-0005-0000-0000-0000AD000000}"/>
    <cellStyle name="Normal 4 2 3 2 5" xfId="284" xr:uid="{00000000-0005-0000-0000-0000AE000000}"/>
    <cellStyle name="Normal 4 2 3 3" xfId="53" xr:uid="{00000000-0005-0000-0000-0000AF000000}"/>
    <cellStyle name="Normal 4 2 3 3 2" xfId="168" xr:uid="{00000000-0005-0000-0000-0000B0000000}"/>
    <cellStyle name="Normal 4 2 3 3 3" xfId="235" xr:uid="{00000000-0005-0000-0000-0000B1000000}"/>
    <cellStyle name="Normal 4 2 3 3 4" xfId="299" xr:uid="{00000000-0005-0000-0000-0000B2000000}"/>
    <cellStyle name="Normal 4 2 3 4" xfId="138" xr:uid="{00000000-0005-0000-0000-0000B3000000}"/>
    <cellStyle name="Normal 4 2 3 5" xfId="205" xr:uid="{00000000-0005-0000-0000-0000B4000000}"/>
    <cellStyle name="Normal 4 2 3 6" xfId="269" xr:uid="{00000000-0005-0000-0000-0000B5000000}"/>
    <cellStyle name="Normal 4 2 4" xfId="28" xr:uid="{00000000-0005-0000-0000-0000B6000000}"/>
    <cellStyle name="Normal 4 2 4 2" xfId="59" xr:uid="{00000000-0005-0000-0000-0000B7000000}"/>
    <cellStyle name="Normal 4 2 4 2 2" xfId="174" xr:uid="{00000000-0005-0000-0000-0000B8000000}"/>
    <cellStyle name="Normal 4 2 4 2 3" xfId="240" xr:uid="{00000000-0005-0000-0000-0000B9000000}"/>
    <cellStyle name="Normal 4 2 4 2 4" xfId="304" xr:uid="{00000000-0005-0000-0000-0000BA000000}"/>
    <cellStyle name="Normal 4 2 4 3" xfId="143" xr:uid="{00000000-0005-0000-0000-0000BB000000}"/>
    <cellStyle name="Normal 4 2 4 4" xfId="210" xr:uid="{00000000-0005-0000-0000-0000BC000000}"/>
    <cellStyle name="Normal 4 2 4 5" xfId="274" xr:uid="{00000000-0005-0000-0000-0000BD000000}"/>
    <cellStyle name="Normal 4 2 5" xfId="43" xr:uid="{00000000-0005-0000-0000-0000BE000000}"/>
    <cellStyle name="Normal 4 2 5 2" xfId="158" xr:uid="{00000000-0005-0000-0000-0000BF000000}"/>
    <cellStyle name="Normal 4 2 5 3" xfId="225" xr:uid="{00000000-0005-0000-0000-0000C0000000}"/>
    <cellStyle name="Normal 4 2 5 4" xfId="289" xr:uid="{00000000-0005-0000-0000-0000C1000000}"/>
    <cellStyle name="Normal 4 2 6" xfId="128" xr:uid="{00000000-0005-0000-0000-0000C2000000}"/>
    <cellStyle name="Normal 4 2 7" xfId="195" xr:uid="{00000000-0005-0000-0000-0000C3000000}"/>
    <cellStyle name="Normal 4 2 8" xfId="259" xr:uid="{00000000-0005-0000-0000-0000C4000000}"/>
    <cellStyle name="Normal 4 3" xfId="13" xr:uid="{00000000-0005-0000-0000-0000C5000000}"/>
    <cellStyle name="Normal 4 3 2" xfId="30" xr:uid="{00000000-0005-0000-0000-0000C6000000}"/>
    <cellStyle name="Normal 4 3 2 2" xfId="61" xr:uid="{00000000-0005-0000-0000-0000C7000000}"/>
    <cellStyle name="Normal 4 3 2 2 2" xfId="176" xr:uid="{00000000-0005-0000-0000-0000C8000000}"/>
    <cellStyle name="Normal 4 3 2 2 3" xfId="242" xr:uid="{00000000-0005-0000-0000-0000C9000000}"/>
    <cellStyle name="Normal 4 3 2 2 4" xfId="306" xr:uid="{00000000-0005-0000-0000-0000CA000000}"/>
    <cellStyle name="Normal 4 3 2 3" xfId="145" xr:uid="{00000000-0005-0000-0000-0000CB000000}"/>
    <cellStyle name="Normal 4 3 2 4" xfId="212" xr:uid="{00000000-0005-0000-0000-0000CC000000}"/>
    <cellStyle name="Normal 4 3 2 5" xfId="276" xr:uid="{00000000-0005-0000-0000-0000CD000000}"/>
    <cellStyle name="Normal 4 3 3" xfId="45" xr:uid="{00000000-0005-0000-0000-0000CE000000}"/>
    <cellStyle name="Normal 4 3 3 2" xfId="160" xr:uid="{00000000-0005-0000-0000-0000CF000000}"/>
    <cellStyle name="Normal 4 3 3 3" xfId="227" xr:uid="{00000000-0005-0000-0000-0000D0000000}"/>
    <cellStyle name="Normal 4 3 3 4" xfId="291" xr:uid="{00000000-0005-0000-0000-0000D1000000}"/>
    <cellStyle name="Normal 4 3 4" xfId="130" xr:uid="{00000000-0005-0000-0000-0000D2000000}"/>
    <cellStyle name="Normal 4 3 5" xfId="197" xr:uid="{00000000-0005-0000-0000-0000D3000000}"/>
    <cellStyle name="Normal 4 3 6" xfId="261" xr:uid="{00000000-0005-0000-0000-0000D4000000}"/>
    <cellStyle name="Normal 4 4" xfId="20" xr:uid="{00000000-0005-0000-0000-0000D5000000}"/>
    <cellStyle name="Normal 4 4 2" xfId="35" xr:uid="{00000000-0005-0000-0000-0000D6000000}"/>
    <cellStyle name="Normal 4 4 2 2" xfId="66" xr:uid="{00000000-0005-0000-0000-0000D7000000}"/>
    <cellStyle name="Normal 4 4 2 2 2" xfId="181" xr:uid="{00000000-0005-0000-0000-0000D8000000}"/>
    <cellStyle name="Normal 4 4 2 2 3" xfId="247" xr:uid="{00000000-0005-0000-0000-0000D9000000}"/>
    <cellStyle name="Normal 4 4 2 2 4" xfId="311" xr:uid="{00000000-0005-0000-0000-0000DA000000}"/>
    <cellStyle name="Normal 4 4 2 3" xfId="150" xr:uid="{00000000-0005-0000-0000-0000DB000000}"/>
    <cellStyle name="Normal 4 4 2 4" xfId="217" xr:uid="{00000000-0005-0000-0000-0000DC000000}"/>
    <cellStyle name="Normal 4 4 2 5" xfId="281" xr:uid="{00000000-0005-0000-0000-0000DD000000}"/>
    <cellStyle name="Normal 4 4 3" xfId="50" xr:uid="{00000000-0005-0000-0000-0000DE000000}"/>
    <cellStyle name="Normal 4 4 3 2" xfId="165" xr:uid="{00000000-0005-0000-0000-0000DF000000}"/>
    <cellStyle name="Normal 4 4 3 3" xfId="232" xr:uid="{00000000-0005-0000-0000-0000E0000000}"/>
    <cellStyle name="Normal 4 4 3 4" xfId="296" xr:uid="{00000000-0005-0000-0000-0000E1000000}"/>
    <cellStyle name="Normal 4 4 4" xfId="135" xr:uid="{00000000-0005-0000-0000-0000E2000000}"/>
    <cellStyle name="Normal 4 4 5" xfId="202" xr:uid="{00000000-0005-0000-0000-0000E3000000}"/>
    <cellStyle name="Normal 4 4 6" xfId="266" xr:uid="{00000000-0005-0000-0000-0000E4000000}"/>
    <cellStyle name="Normal 4 5" xfId="25" xr:uid="{00000000-0005-0000-0000-0000E5000000}"/>
    <cellStyle name="Normal 4 5 2" xfId="56" xr:uid="{00000000-0005-0000-0000-0000E6000000}"/>
    <cellStyle name="Normal 4 5 2 2" xfId="171" xr:uid="{00000000-0005-0000-0000-0000E7000000}"/>
    <cellStyle name="Normal 4 5 2 3" xfId="237" xr:uid="{00000000-0005-0000-0000-0000E8000000}"/>
    <cellStyle name="Normal 4 5 2 4" xfId="301" xr:uid="{00000000-0005-0000-0000-0000E9000000}"/>
    <cellStyle name="Normal 4 5 3" xfId="140" xr:uid="{00000000-0005-0000-0000-0000EA000000}"/>
    <cellStyle name="Normal 4 5 4" xfId="207" xr:uid="{00000000-0005-0000-0000-0000EB000000}"/>
    <cellStyle name="Normal 4 5 5" xfId="271" xr:uid="{00000000-0005-0000-0000-0000EC000000}"/>
    <cellStyle name="Normal 4 6" xfId="40" xr:uid="{00000000-0005-0000-0000-0000ED000000}"/>
    <cellStyle name="Normal 4 6 2" xfId="155" xr:uid="{00000000-0005-0000-0000-0000EE000000}"/>
    <cellStyle name="Normal 4 6 3" xfId="222" xr:uid="{00000000-0005-0000-0000-0000EF000000}"/>
    <cellStyle name="Normal 4 6 4" xfId="286" xr:uid="{00000000-0005-0000-0000-0000F0000000}"/>
    <cellStyle name="Normal 4 7" xfId="119" xr:uid="{00000000-0005-0000-0000-0000F1000000}"/>
    <cellStyle name="Normal 4 7 2" xfId="192" xr:uid="{00000000-0005-0000-0000-0000F2000000}"/>
    <cellStyle name="Normal 4 7 3" xfId="256" xr:uid="{00000000-0005-0000-0000-0000F3000000}"/>
    <cellStyle name="Normal 4 8" xfId="186" xr:uid="{00000000-0005-0000-0000-0000F4000000}"/>
    <cellStyle name="Normal 4 9" xfId="252" xr:uid="{00000000-0005-0000-0000-0000F5000000}"/>
    <cellStyle name="Normal 5" xfId="9" xr:uid="{00000000-0005-0000-0000-0000F6000000}"/>
    <cellStyle name="Normal 5 2" xfId="16" xr:uid="{00000000-0005-0000-0000-0000F7000000}"/>
    <cellStyle name="Normal 5 2 2" xfId="31" xr:uid="{00000000-0005-0000-0000-0000F8000000}"/>
    <cellStyle name="Normal 5 2 2 2" xfId="62" xr:uid="{00000000-0005-0000-0000-0000F9000000}"/>
    <cellStyle name="Normal 5 2 2 2 2" xfId="177" xr:uid="{00000000-0005-0000-0000-0000FA000000}"/>
    <cellStyle name="Normal 5 2 2 2 3" xfId="243" xr:uid="{00000000-0005-0000-0000-0000FB000000}"/>
    <cellStyle name="Normal 5 2 2 2 4" xfId="307" xr:uid="{00000000-0005-0000-0000-0000FC000000}"/>
    <cellStyle name="Normal 5 2 2 3" xfId="146" xr:uid="{00000000-0005-0000-0000-0000FD000000}"/>
    <cellStyle name="Normal 5 2 2 4" xfId="213" xr:uid="{00000000-0005-0000-0000-0000FE000000}"/>
    <cellStyle name="Normal 5 2 2 5" xfId="277" xr:uid="{00000000-0005-0000-0000-0000FF000000}"/>
    <cellStyle name="Normal 5 2 3" xfId="46" xr:uid="{00000000-0005-0000-0000-000000010000}"/>
    <cellStyle name="Normal 5 2 3 2" xfId="161" xr:uid="{00000000-0005-0000-0000-000001010000}"/>
    <cellStyle name="Normal 5 2 3 3" xfId="228" xr:uid="{00000000-0005-0000-0000-000002010000}"/>
    <cellStyle name="Normal 5 2 3 4" xfId="292" xr:uid="{00000000-0005-0000-0000-000003010000}"/>
    <cellStyle name="Normal 5 2 4" xfId="131" xr:uid="{00000000-0005-0000-0000-000004010000}"/>
    <cellStyle name="Normal 5 2 5" xfId="122" xr:uid="{00000000-0005-0000-0000-000005010000}"/>
    <cellStyle name="Normal 5 2 6" xfId="198" xr:uid="{00000000-0005-0000-0000-000006010000}"/>
    <cellStyle name="Normal 5 2 7" xfId="262" xr:uid="{00000000-0005-0000-0000-000007010000}"/>
    <cellStyle name="Normal 5 3" xfId="21" xr:uid="{00000000-0005-0000-0000-000008010000}"/>
    <cellStyle name="Normal 5 3 2" xfId="36" xr:uid="{00000000-0005-0000-0000-000009010000}"/>
    <cellStyle name="Normal 5 3 2 2" xfId="67" xr:uid="{00000000-0005-0000-0000-00000A010000}"/>
    <cellStyle name="Normal 5 3 2 2 2" xfId="182" xr:uid="{00000000-0005-0000-0000-00000B010000}"/>
    <cellStyle name="Normal 5 3 2 2 3" xfId="248" xr:uid="{00000000-0005-0000-0000-00000C010000}"/>
    <cellStyle name="Normal 5 3 2 2 4" xfId="312" xr:uid="{00000000-0005-0000-0000-00000D010000}"/>
    <cellStyle name="Normal 5 3 2 3" xfId="151" xr:uid="{00000000-0005-0000-0000-00000E010000}"/>
    <cellStyle name="Normal 5 3 2 4" xfId="218" xr:uid="{00000000-0005-0000-0000-00000F010000}"/>
    <cellStyle name="Normal 5 3 2 5" xfId="282" xr:uid="{00000000-0005-0000-0000-000010010000}"/>
    <cellStyle name="Normal 5 3 3" xfId="51" xr:uid="{00000000-0005-0000-0000-000011010000}"/>
    <cellStyle name="Normal 5 3 3 2" xfId="166" xr:uid="{00000000-0005-0000-0000-000012010000}"/>
    <cellStyle name="Normal 5 3 3 3" xfId="233" xr:uid="{00000000-0005-0000-0000-000013010000}"/>
    <cellStyle name="Normal 5 3 3 4" xfId="297" xr:uid="{00000000-0005-0000-0000-000014010000}"/>
    <cellStyle name="Normal 5 3 4" xfId="136" xr:uid="{00000000-0005-0000-0000-000015010000}"/>
    <cellStyle name="Normal 5 3 5" xfId="203" xr:uid="{00000000-0005-0000-0000-000016010000}"/>
    <cellStyle name="Normal 5 3 6" xfId="267" xr:uid="{00000000-0005-0000-0000-000017010000}"/>
    <cellStyle name="Normal 5 4" xfId="26" xr:uid="{00000000-0005-0000-0000-000018010000}"/>
    <cellStyle name="Normal 5 4 2" xfId="57" xr:uid="{00000000-0005-0000-0000-000019010000}"/>
    <cellStyle name="Normal 5 4 2 2" xfId="172" xr:uid="{00000000-0005-0000-0000-00001A010000}"/>
    <cellStyle name="Normal 5 4 2 3" xfId="238" xr:uid="{00000000-0005-0000-0000-00001B010000}"/>
    <cellStyle name="Normal 5 4 2 4" xfId="302" xr:uid="{00000000-0005-0000-0000-00001C010000}"/>
    <cellStyle name="Normal 5 4 3" xfId="141" xr:uid="{00000000-0005-0000-0000-00001D010000}"/>
    <cellStyle name="Normal 5 4 4" xfId="208" xr:uid="{00000000-0005-0000-0000-00001E010000}"/>
    <cellStyle name="Normal 5 4 5" xfId="272" xr:uid="{00000000-0005-0000-0000-00001F010000}"/>
    <cellStyle name="Normal 5 5" xfId="41" xr:uid="{00000000-0005-0000-0000-000020010000}"/>
    <cellStyle name="Normal 5 5 2" xfId="156" xr:uid="{00000000-0005-0000-0000-000021010000}"/>
    <cellStyle name="Normal 5 5 3" xfId="223" xr:uid="{00000000-0005-0000-0000-000022010000}"/>
    <cellStyle name="Normal 5 5 4" xfId="287" xr:uid="{00000000-0005-0000-0000-000023010000}"/>
    <cellStyle name="Normal 5 6" xfId="126" xr:uid="{00000000-0005-0000-0000-000024010000}"/>
    <cellStyle name="Normal 5 6 2" xfId="193" xr:uid="{00000000-0005-0000-0000-000025010000}"/>
    <cellStyle name="Normal 5 6 3" xfId="257" xr:uid="{00000000-0005-0000-0000-000026010000}"/>
    <cellStyle name="Normal 5 7" xfId="114" xr:uid="{00000000-0005-0000-0000-000027010000}"/>
    <cellStyle name="Normal 5 8" xfId="187" xr:uid="{00000000-0005-0000-0000-000028010000}"/>
    <cellStyle name="Normal 5 9" xfId="253" xr:uid="{00000000-0005-0000-0000-000029010000}"/>
    <cellStyle name="Normal 6" xfId="70" xr:uid="{00000000-0005-0000-0000-00002A010000}"/>
    <cellStyle name="Normal 6 2" xfId="112" xr:uid="{00000000-0005-0000-0000-00002B010000}"/>
    <cellStyle name="Normal 7" xfId="124" xr:uid="{00000000-0005-0000-0000-00002C010000}"/>
    <cellStyle name="Normal 7 2" xfId="189" xr:uid="{00000000-0005-0000-0000-00002D010000}"/>
    <cellStyle name="Normal 8" xfId="111" xr:uid="{00000000-0005-0000-0000-00002E010000}"/>
    <cellStyle name="Normal 8 2" xfId="188" xr:uid="{00000000-0005-0000-0000-00002F010000}"/>
    <cellStyle name="Normal 8 3" xfId="254" xr:uid="{00000000-0005-0000-0000-000030010000}"/>
    <cellStyle name="Normal 9 2 2" xfId="8" xr:uid="{00000000-0005-0000-0000-000031010000}"/>
    <cellStyle name="Normal 9 2 2 2" xfId="15" xr:uid="{00000000-0005-0000-0000-000032010000}"/>
    <cellStyle name="Normalny" xfId="0" builtinId="0"/>
    <cellStyle name="Note 2" xfId="113" xr:uid="{00000000-0005-0000-0000-000034010000}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y" xfId="77" builtinId="27" customBuiltin="1"/>
  </cellStyles>
  <dxfs count="6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5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87313</xdr:rowOff>
    </xdr:from>
    <xdr:to>
      <xdr:col>7</xdr:col>
      <xdr:colOff>9525</xdr:colOff>
      <xdr:row>5</xdr:row>
      <xdr:rowOff>103188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F9C415-AA49-451C-9EA7-41BD5C4C33FD}"/>
            </a:ext>
          </a:extLst>
        </xdr:cNvPr>
        <xdr:cNvSpPr txBox="1"/>
      </xdr:nvSpPr>
      <xdr:spPr>
        <a:xfrm>
          <a:off x="1222375" y="642938"/>
          <a:ext cx="3065463" cy="492125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endParaRPr lang="en-US" sz="1200" b="1"/>
        </a:p>
      </xdr:txBody>
    </xdr:sp>
    <xdr:clientData/>
  </xdr:twoCellAnchor>
  <xdr:twoCellAnchor>
    <xdr:from>
      <xdr:col>4</xdr:col>
      <xdr:colOff>209550</xdr:colOff>
      <xdr:row>6</xdr:row>
      <xdr:rowOff>50800</xdr:rowOff>
    </xdr:from>
    <xdr:to>
      <xdr:col>4</xdr:col>
      <xdr:colOff>390525</xdr:colOff>
      <xdr:row>7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30</xdr:row>
      <xdr:rowOff>23812</xdr:rowOff>
    </xdr:from>
    <xdr:to>
      <xdr:col>7</xdr:col>
      <xdr:colOff>85725</xdr:colOff>
      <xdr:row>31</xdr:row>
      <xdr:rowOff>86519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1E12502-BB79-43E1-870A-B7EAA08F7817}"/>
            </a:ext>
          </a:extLst>
        </xdr:cNvPr>
        <xdr:cNvSpPr txBox="1"/>
      </xdr:nvSpPr>
      <xdr:spPr>
        <a:xfrm>
          <a:off x="1287463" y="5286375"/>
          <a:ext cx="3048793" cy="229394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pl-PL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update comments</a:t>
          </a:r>
          <a:endParaRPr lang="en-US" sz="1200" b="1"/>
        </a:p>
      </xdr:txBody>
    </xdr:sp>
    <xdr:clientData/>
  </xdr:twoCellAnchor>
  <xdr:twoCellAnchor>
    <xdr:from>
      <xdr:col>2</xdr:col>
      <xdr:colOff>381000</xdr:colOff>
      <xdr:row>23</xdr:row>
      <xdr:rowOff>6350</xdr:rowOff>
    </xdr:from>
    <xdr:to>
      <xdr:col>6</xdr:col>
      <xdr:colOff>247650</xdr:colOff>
      <xdr:row>26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26</xdr:row>
      <xdr:rowOff>134938</xdr:rowOff>
    </xdr:from>
    <xdr:to>
      <xdr:col>5</xdr:col>
      <xdr:colOff>588963</xdr:colOff>
      <xdr:row>29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:a16="http://schemas.microsoft.com/office/drawing/2014/main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33</xdr:row>
      <xdr:rowOff>134938</xdr:rowOff>
    </xdr:from>
    <xdr:to>
      <xdr:col>6</xdr:col>
      <xdr:colOff>223836</xdr:colOff>
      <xdr:row>37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37</xdr:row>
      <xdr:rowOff>95251</xdr:rowOff>
    </xdr:from>
    <xdr:to>
      <xdr:col>5</xdr:col>
      <xdr:colOff>596900</xdr:colOff>
      <xdr:row>40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:a16="http://schemas.microsoft.com/office/drawing/2014/main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40</xdr:row>
      <xdr:rowOff>95251</xdr:rowOff>
    </xdr:from>
    <xdr:to>
      <xdr:col>4</xdr:col>
      <xdr:colOff>371476</xdr:colOff>
      <xdr:row>41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32</xdr:row>
      <xdr:rowOff>7938</xdr:rowOff>
    </xdr:from>
    <xdr:to>
      <xdr:col>4</xdr:col>
      <xdr:colOff>379413</xdr:colOff>
      <xdr:row>33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45</xdr:row>
      <xdr:rowOff>150812</xdr:rowOff>
    </xdr:from>
    <xdr:to>
      <xdr:col>5</xdr:col>
      <xdr:colOff>565150</xdr:colOff>
      <xdr:row>48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48</xdr:row>
      <xdr:rowOff>146982</xdr:rowOff>
    </xdr:from>
    <xdr:to>
      <xdr:col>5</xdr:col>
      <xdr:colOff>47626</xdr:colOff>
      <xdr:row>52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:a16="http://schemas.microsoft.com/office/drawing/2014/main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42</xdr:row>
      <xdr:rowOff>47625</xdr:rowOff>
    </xdr:from>
    <xdr:to>
      <xdr:col>6</xdr:col>
      <xdr:colOff>184150</xdr:colOff>
      <xdr:row>45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8</xdr:row>
      <xdr:rowOff>31749</xdr:rowOff>
    </xdr:from>
    <xdr:to>
      <xdr:col>7</xdr:col>
      <xdr:colOff>25401</xdr:colOff>
      <xdr:row>15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16</xdr:row>
      <xdr:rowOff>31751</xdr:rowOff>
    </xdr:from>
    <xdr:to>
      <xdr:col>6</xdr:col>
      <xdr:colOff>309562</xdr:colOff>
      <xdr:row>20</xdr:row>
      <xdr:rowOff>53975</xdr:rowOff>
    </xdr:to>
    <xdr:sp macro="[0]!SAPreport_APAC_EuAfMe_US_CLAR" textlink="">
      <xdr:nvSpPr>
        <xdr:cNvPr id="22" name="Oval 21">
          <a:extLst>
            <a:ext uri="{FF2B5EF4-FFF2-40B4-BE49-F238E27FC236}">
              <a16:creationId xmlns:a16="http://schemas.microsoft.com/office/drawing/2014/main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report for APAC EuAfMeUS CLAR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21</xdr:row>
      <xdr:rowOff>7937</xdr:rowOff>
    </xdr:from>
    <xdr:to>
      <xdr:col>4</xdr:col>
      <xdr:colOff>379413</xdr:colOff>
      <xdr:row>22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żytkownik systemu Windows" refreshedDate="45472.588401851855" createdVersion="3" refreshedVersion="4" minRefreshableVersion="3" recordCount="1" xr:uid="{00000000-000A-0000-FFFF-FFFF11000000}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6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/>
    </cacheField>
    <cacheField name="Owner" numFmtId="0">
      <sharedItems count="17">
        <e v="#N/A"/>
        <s v="Akpınar, Dogac" u="1"/>
        <s v="Mei, Haimin " u="1"/>
        <s v="Zhang, Matthew" u="1"/>
        <s v="Samuseva, Mayya " u="1"/>
        <s v="Cylinna Zhang " u="1"/>
        <s v="for POs starts with 45_ [Lin, Ziru] for POs starts with 44_ [Lim, Carol; Santillan, Amapola; Siew Nee Ivy]" u="1"/>
        <s v="Luu Thi Hong, Van" u="1"/>
        <s v="Ward, Roland Keith " u="1"/>
        <s v="Theetat, Ketsawasdiphat" u="1"/>
        <s v="Saktiaji, Tendy" u="1"/>
        <s v="[NZ05 plant : Angela Owen ] ; [NZ03 &amp; NZ04 plant: ML ANZ; Windred, Jessica]" u="1"/>
        <s v="Ogbac, Jarieth V" u="1"/>
        <s v="Mei, Haimin" u="1"/>
        <s v="Cortes, Priscilla" u="1"/>
        <s v="Windred, Jessica _please check plant, if AU03 - the owner is Cannon, Genevieve " u="1"/>
        <s v="Kim, Jiwon; Kim, Sang-Hu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żytkownik systemu Windows" refreshedDate="45472.58843275463" createdVersion="3" refreshedVersion="4" minRefreshableVersion="3" recordCount="1" xr:uid="{00000000-000A-0000-FFFF-FFFF15000000}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6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String="0" containsBlank="1"/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 count="7">
        <s v="[6] &gt;360 days"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unt="17">
        <e v="#N/A"/>
        <s v="Akpınar, Dogac" u="1"/>
        <s v="Mei, Haimin " u="1"/>
        <s v="Zhang, Matthew" u="1"/>
        <s v="Samuseva, Mayya " u="1"/>
        <s v="Cylinna Zhang " u="1"/>
        <s v="for POs starts with 45_ [Lin, Ziru] for POs starts with 44_ [Lim, Carol; Santillan, Amapola; Siew Nee Ivy]" u="1"/>
        <s v="Luu Thi Hong, Van" u="1"/>
        <s v="Ward, Roland Keith " u="1"/>
        <s v="Theetat, Ketsawasdiphat" u="1"/>
        <s v="Saktiaji, Tendy" u="1"/>
        <s v="[NZ05 plant : Angela Owen ] ; [NZ03 &amp; NZ04 plant: ML ANZ; Windred, Jessica]" u="1"/>
        <s v="Ogbac, Jarieth V" u="1"/>
        <s v="Mei, Haimin" u="1"/>
        <s v="Cortes, Priscilla" u="1"/>
        <s v="Windred, Jessica _please check plant, if AU03 - the owner is Cannon, Genevieve " u="1"/>
        <s v="Kim, Jiwon; Kim, Sang-Hu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72"/>
    <s v="[6] &gt;360 days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72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29:C32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outline="0" showAll="0"/>
    <pivotField compact="0" numFmtId="43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8">
        <item m="1" x="4"/>
        <item m="1" x="6"/>
        <item m="1" x="1"/>
        <item m="1" x="5"/>
        <item m="1" x="2"/>
        <item m="1" x="3"/>
        <item x="0"/>
        <item t="default"/>
      </items>
    </pivotField>
    <pivotField axis="axisRow" compact="0" outline="0" showAll="0">
      <items count="18">
        <item m="1" x="1"/>
        <item m="1" x="14"/>
        <item m="1" x="5"/>
        <item m="1" x="6"/>
        <item m="1" x="16"/>
        <item m="1" x="7"/>
        <item m="1" x="13"/>
        <item m="1" x="2"/>
        <item m="1" x="12"/>
        <item m="1" x="10"/>
        <item m="1" x="4"/>
        <item m="1" x="9"/>
        <item m="1" x="8"/>
        <item m="1" x="15"/>
        <item m="1" x="3"/>
        <item x="0"/>
        <item m="1" x="11"/>
        <item t="default"/>
      </items>
    </pivotField>
    <pivotField compact="0" outline="0" showAll="0"/>
  </pivotFields>
  <rowFields count="1">
    <field x="24"/>
  </rowFields>
  <rowItems count="2">
    <i>
      <x v="15"/>
    </i>
    <i t="grand">
      <x/>
    </i>
  </rowItems>
  <colFields count="1">
    <field x="23"/>
  </colFields>
  <colItems count="2">
    <i>
      <x v="6"/>
    </i>
    <i t="grand">
      <x/>
    </i>
  </colItems>
  <dataFields count="1">
    <dataField name="Count of Invoice Document No." fld="2" subtotal="count" baseField="22" baseItem="1"/>
  </dataFields>
  <formats count="25">
    <format dxfId="29">
      <pivotArea type="origin" dataOnly="0" labelOnly="1" outline="0" fieldPosition="0"/>
    </format>
    <format dxfId="28">
      <pivotArea field="23" type="button" dataOnly="0" labelOnly="1" outline="0" axis="axisCol" fieldPosition="0"/>
    </format>
    <format dxfId="27">
      <pivotArea type="topRight" dataOnly="0" labelOnly="1" outline="0" fieldPosition="0"/>
    </format>
    <format dxfId="26">
      <pivotArea dataOnly="0" labelOnly="1" fieldPosition="0">
        <references count="1">
          <reference field="23" count="0"/>
        </references>
      </pivotArea>
    </format>
    <format dxfId="25">
      <pivotArea dataOnly="0" labelOnly="1" grandCol="1" outline="0" fieldPosition="0"/>
    </format>
    <format dxfId="24">
      <pivotArea type="all" dataOnly="0" outline="0" fieldPosition="0"/>
    </format>
    <format dxfId="23">
      <pivotArea field="23" type="button" dataOnly="0" labelOnly="1" outline="0" axis="axisCol" fieldPosition="0"/>
    </format>
    <format dxfId="22">
      <pivotArea type="topRight" dataOnly="0" labelOnly="1" outline="0" fieldPosition="0"/>
    </format>
    <format dxfId="21">
      <pivotArea type="topRight" dataOnly="0" labelOnly="1" outline="0" offset="C1" fieldPosition="0"/>
    </format>
    <format dxfId="20">
      <pivotArea dataOnly="0" labelOnly="1" grandCol="1" outline="0" fieldPosition="0"/>
    </format>
    <format dxfId="19">
      <pivotArea type="origin" dataOnly="0" labelOnly="1" outline="0" fieldPosition="0"/>
    </format>
    <format dxfId="18">
      <pivotArea field="23" type="button" dataOnly="0" labelOnly="1" outline="0" axis="axisCol" fieldPosition="0"/>
    </format>
    <format dxfId="17">
      <pivotArea type="topRight" dataOnly="0" labelOnly="1" outline="0" fieldPosition="0"/>
    </format>
    <format dxfId="16">
      <pivotArea dataOnly="0" labelOnly="1" fieldPosition="0">
        <references count="1">
          <reference field="23" count="0"/>
        </references>
      </pivotArea>
    </format>
    <format dxfId="15">
      <pivotArea dataOnly="0" labelOnly="1" grandCol="1" outline="0" fieldPosition="0"/>
    </format>
    <format dxfId="14">
      <pivotArea type="origin" dataOnly="0" labelOnly="1" outline="0" fieldPosition="0"/>
    </format>
    <format dxfId="13">
      <pivotArea field="23" type="button" dataOnly="0" labelOnly="1" outline="0" axis="axisCol" fieldPosition="0"/>
    </format>
    <format dxfId="12">
      <pivotArea type="topRight" dataOnly="0" labelOnly="1" outline="0" fieldPosition="0"/>
    </format>
    <format dxfId="11">
      <pivotArea dataOnly="0" labelOnly="1" fieldPosition="0">
        <references count="1">
          <reference field="23" count="0"/>
        </references>
      </pivotArea>
    </format>
    <format dxfId="10">
      <pivotArea dataOnly="0" labelOnly="1" grandCol="1" outline="0" fieldPosition="0"/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showAll="0"/>
    <pivotField dataField="1" numFmtId="43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18">
        <item m="1" x="1"/>
        <item m="1" x="14"/>
        <item m="1" x="5"/>
        <item m="1" x="6"/>
        <item m="1" x="16"/>
        <item m="1" x="7"/>
        <item m="1" x="13"/>
        <item m="1" x="2"/>
        <item m="1" x="12"/>
        <item m="1" x="10"/>
        <item m="1" x="4"/>
        <item m="1" x="9"/>
        <item m="1" x="8"/>
        <item m="1" x="15"/>
        <item m="1" x="3"/>
        <item x="0"/>
        <item m="1" x="11"/>
        <item t="default"/>
      </items>
    </pivotField>
    <pivotField showAll="0"/>
  </pivotFields>
  <rowFields count="1">
    <field x="24"/>
  </rowFields>
  <rowItems count="2">
    <i>
      <x v="15"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5"/>
    <dataField name="Count of Invoice Document No." fld="2" subtotal="count" baseField="23" baseItem="2"/>
  </dataFields>
  <formats count="32">
    <format dxfId="61">
      <pivotArea dataOnly="0" labelOnly="1" grandCol="1" outline="0" fieldPosition="0"/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type="origin" dataOnly="0" labelOnly="1" outline="0" fieldPosition="0"/>
    </format>
    <format dxfId="57">
      <pivotArea field="20" type="button" dataOnly="0" labelOnly="1" outline="0" axis="axisCol" fieldPosition="1"/>
    </format>
    <format dxfId="56">
      <pivotArea type="topRight" dataOnly="0" labelOnly="1" outline="0" fieldPosition="0"/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field="20" type="button" dataOnly="0" labelOnly="1" outline="0" axis="axisCol" fieldPosition="1"/>
    </format>
    <format dxfId="52">
      <pivotArea type="topRight" dataOnly="0" labelOnly="1" outline="0" fieldPosition="0"/>
    </format>
    <format dxfId="51">
      <pivotArea type="topRight" dataOnly="0" labelOnly="1" outline="0" offset="C1" fieldPosition="0"/>
    </format>
    <format dxfId="50">
      <pivotArea dataOnly="0" labelOnly="1" grandCol="1" outline="0" fieldPosition="0"/>
    </format>
    <format dxfId="49">
      <pivotArea outline="0" collapsedLevelsAreSubtotals="1" fieldPosition="0"/>
    </format>
    <format dxfId="48">
      <pivotArea type="origin" dataOnly="0" labelOnly="1" outline="0" fieldPosition="0"/>
    </format>
    <format dxfId="47">
      <pivotArea field="20" type="button" dataOnly="0" labelOnly="1" outline="0" axis="axisCol" fieldPosition="1"/>
    </format>
    <format dxfId="46">
      <pivotArea type="topRight" dataOnly="0" labelOnly="1" outline="0" fieldPosition="0"/>
    </format>
    <format dxfId="45">
      <pivotArea dataOnly="0" labelOnly="1" grandCol="1" outline="0" fieldPosition="0"/>
    </format>
    <format dxfId="44">
      <pivotArea type="origin" dataOnly="0" labelOnly="1" outline="0" fieldPosition="0"/>
    </format>
    <format dxfId="43">
      <pivotArea field="20" type="button" dataOnly="0" labelOnly="1" outline="0" axis="axisCol" fieldPosition="1"/>
    </format>
    <format dxfId="42">
      <pivotArea type="topRight" dataOnly="0" labelOnly="1" outline="0" fieldPosition="0"/>
    </format>
    <format dxfId="41">
      <pivotArea dataOnly="0" labelOnly="1" grandCol="1" outline="0" fieldPosition="0"/>
    </format>
    <format dxfId="40">
      <pivotArea grandRow="1" outline="0" collapsedLevelsAreSubtotals="1" fieldPosition="0"/>
    </format>
    <format dxfId="39">
      <pivotArea dataOnly="0" labelOnly="1" grandRow="1" outline="0" fieldPosition="0"/>
    </format>
    <format dxfId="38">
      <pivotArea grandRow="1" outline="0" collapsedLevelsAreSubtotals="1" fieldPosition="0"/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20" count="0"/>
        </references>
      </pivotArea>
    </format>
    <format dxfId="35">
      <pivotArea dataOnly="0" labelOnly="1" fieldPosition="0">
        <references count="1">
          <reference field="20" count="0"/>
        </references>
      </pivotArea>
    </format>
    <format dxfId="34">
      <pivotArea dataOnly="0" labelOnly="1" fieldPosition="0">
        <references count="1">
          <reference field="20" count="0"/>
        </references>
      </pivotArea>
    </format>
    <format dxfId="33">
      <pivotArea dataOnly="0" labelOnly="1" fieldPosition="0">
        <references count="1">
          <reference field="20" count="0"/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field="-2" type="button" dataOnly="0" labelOnly="1" outline="0" axis="axisCol" fieldPosition="0"/>
    </format>
    <format dxfId="30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FF00"/>
  </sheetPr>
  <dimension ref="C1:I40"/>
  <sheetViews>
    <sheetView showGridLines="0" tabSelected="1" zoomScale="80" zoomScaleNormal="80" workbookViewId="0"/>
  </sheetViews>
  <sheetFormatPr defaultRowHeight="13.2"/>
  <cols>
    <col min="1" max="1" width="8.6640625"/>
  </cols>
  <sheetData>
    <row r="1" spans="3:7" ht="22.5" customHeight="1" thickBot="1"/>
    <row r="2" spans="3:7" ht="21.6" thickBot="1">
      <c r="C2" s="44" t="s">
        <v>36</v>
      </c>
      <c r="D2" s="45"/>
      <c r="E2" s="45"/>
      <c r="F2" s="45"/>
      <c r="G2" s="46"/>
    </row>
    <row r="9" spans="3:7">
      <c r="E9" s="8"/>
    </row>
    <row r="19" spans="3:9" ht="15.6">
      <c r="I19" s="29"/>
    </row>
    <row r="26" spans="3:9">
      <c r="C26" s="8"/>
    </row>
    <row r="27" spans="3:9">
      <c r="C27" s="8"/>
    </row>
    <row r="37" spans="3:9">
      <c r="C37" s="8"/>
    </row>
    <row r="39" spans="3:9">
      <c r="I39" s="26"/>
    </row>
    <row r="40" spans="3:9">
      <c r="I40" s="8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E48"/>
  <sheetViews>
    <sheetView zoomScale="80" zoomScaleNormal="80" workbookViewId="0">
      <selection activeCell="A9" sqref="A9"/>
    </sheetView>
  </sheetViews>
  <sheetFormatPr defaultColWidth="7.6640625" defaultRowHeight="13.2"/>
  <cols>
    <col min="1" max="1" width="28.88671875" customWidth="1"/>
    <col min="2" max="2" width="12.88671875" customWidth="1"/>
    <col min="3" max="3" width="15" customWidth="1"/>
    <col min="4" max="4" width="14.44140625" bestFit="1" customWidth="1"/>
    <col min="5" max="5" width="20.88671875" bestFit="1" customWidth="1"/>
    <col min="6" max="8" width="13.5546875" bestFit="1" customWidth="1"/>
    <col min="9" max="9" width="10" bestFit="1" customWidth="1"/>
    <col min="10" max="10" width="20.5546875" bestFit="1" customWidth="1"/>
    <col min="11" max="11" width="18.44140625" bestFit="1" customWidth="1"/>
    <col min="12" max="12" width="21.6640625" bestFit="1" customWidth="1"/>
  </cols>
  <sheetData>
    <row r="1" spans="1:5" ht="13.8">
      <c r="A1" s="1" t="s">
        <v>22</v>
      </c>
    </row>
    <row r="2" spans="1:5" ht="13.8">
      <c r="A2" s="1"/>
    </row>
    <row r="3" spans="1:5">
      <c r="A3" s="30"/>
      <c r="B3" s="30" t="s">
        <v>21</v>
      </c>
      <c r="C3" s="30"/>
      <c r="D3" s="31"/>
      <c r="E3" s="32"/>
    </row>
    <row r="4" spans="1:5" ht="33.9" customHeight="1">
      <c r="A4" s="30"/>
      <c r="B4" s="30" t="s">
        <v>30</v>
      </c>
      <c r="C4" s="30" t="s">
        <v>20</v>
      </c>
      <c r="D4" s="33" t="s">
        <v>41</v>
      </c>
      <c r="E4" s="33" t="s">
        <v>42</v>
      </c>
    </row>
    <row r="5" spans="1:5">
      <c r="A5" s="30" t="s">
        <v>3</v>
      </c>
      <c r="B5" s="38" t="s">
        <v>43</v>
      </c>
      <c r="C5" s="38" t="s">
        <v>43</v>
      </c>
      <c r="D5" s="34"/>
      <c r="E5" s="34"/>
    </row>
    <row r="6" spans="1:5">
      <c r="A6" s="24" t="s">
        <v>44</v>
      </c>
      <c r="B6" s="6" t="e">
        <v>#N/A</v>
      </c>
      <c r="C6" s="6"/>
      <c r="D6" s="6" t="e">
        <v>#N/A</v>
      </c>
      <c r="E6" s="6"/>
    </row>
    <row r="7" spans="1:5">
      <c r="A7" s="36" t="s">
        <v>45</v>
      </c>
      <c r="B7" s="35" t="e">
        <v>#N/A</v>
      </c>
      <c r="C7" s="35"/>
      <c r="D7" s="35" t="e">
        <v>#N/A</v>
      </c>
      <c r="E7" s="35"/>
    </row>
    <row r="28" spans="1:3" ht="13.8">
      <c r="A28" s="1" t="s">
        <v>34</v>
      </c>
    </row>
    <row r="29" spans="1:3">
      <c r="A29" s="30" t="s">
        <v>20</v>
      </c>
      <c r="B29" s="30" t="s">
        <v>4</v>
      </c>
      <c r="C29" s="30"/>
    </row>
    <row r="30" spans="1:3">
      <c r="A30" s="30" t="s">
        <v>3</v>
      </c>
      <c r="B30" s="30" t="s">
        <v>33</v>
      </c>
      <c r="C30" s="30" t="s">
        <v>45</v>
      </c>
    </row>
    <row r="31" spans="1:3">
      <c r="A31" s="2" t="s">
        <v>44</v>
      </c>
      <c r="B31" s="2"/>
      <c r="C31" s="2"/>
    </row>
    <row r="32" spans="1:3">
      <c r="A32" s="37" t="s">
        <v>45</v>
      </c>
      <c r="B32" s="37"/>
      <c r="C32" s="37"/>
    </row>
    <row r="48" ht="14.4" customHeight="1"/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Z2"/>
  <sheetViews>
    <sheetView zoomScale="80" zoomScaleNormal="80" workbookViewId="0">
      <pane xSplit="10" ySplit="1" topLeftCell="K2" activePane="bottomRight" state="frozen"/>
      <selection activeCell="C1" sqref="C1"/>
      <selection pane="topRight" activeCell="C1" sqref="C1"/>
      <selection pane="bottomLeft" activeCell="C1" sqref="C1"/>
      <selection pane="bottomRight"/>
    </sheetView>
  </sheetViews>
  <sheetFormatPr defaultRowHeight="13.2"/>
  <cols>
    <col min="1" max="1" width="6.33203125" style="9" bestFit="1" customWidth="1"/>
    <col min="2" max="2" width="10" style="9" bestFit="1" customWidth="1"/>
    <col min="3" max="3" width="11.33203125" style="9" bestFit="1" customWidth="1"/>
    <col min="4" max="4" width="13.109375" style="9" bestFit="1" customWidth="1"/>
    <col min="5" max="5" width="9.109375" style="9" bestFit="1" customWidth="1"/>
    <col min="6" max="6" width="10.33203125" style="9" bestFit="1" customWidth="1"/>
    <col min="7" max="7" width="13.5546875" style="12" bestFit="1" customWidth="1"/>
    <col min="8" max="8" width="12.33203125" style="9" bestFit="1" customWidth="1"/>
    <col min="9" max="9" width="9.44140625" style="9" bestFit="1" customWidth="1"/>
    <col min="10" max="10" width="10.5546875" style="9" bestFit="1" customWidth="1"/>
    <col min="11" max="11" width="9.109375" style="9" bestFit="1" customWidth="1"/>
    <col min="12" max="12" width="6" style="9" bestFit="1" customWidth="1"/>
    <col min="13" max="14" width="11.44140625" style="9" customWidth="1"/>
    <col min="15" max="15" width="13.5546875" style="12" bestFit="1" customWidth="1"/>
    <col min="16" max="16" width="17.109375" style="9" bestFit="1" customWidth="1"/>
    <col min="17" max="17" width="16.44140625" style="9" bestFit="1" customWidth="1"/>
    <col min="18" max="18" width="8" style="9" bestFit="1" customWidth="1"/>
    <col min="19" max="19" width="15.109375" style="9" bestFit="1" customWidth="1"/>
    <col min="20" max="20" width="12.6640625" style="9" bestFit="1" customWidth="1"/>
    <col min="21" max="21" width="23.6640625" style="9" bestFit="1" customWidth="1"/>
    <col min="22" max="22" width="10.88671875" style="9" bestFit="1" customWidth="1"/>
    <col min="23" max="23" width="12.109375" style="9" bestFit="1" customWidth="1"/>
    <col min="24" max="24" width="13" style="9" bestFit="1" customWidth="1"/>
    <col min="25" max="25" width="7.88671875" style="9" bestFit="1" customWidth="1"/>
    <col min="26" max="26" width="12.33203125" style="9" bestFit="1" customWidth="1"/>
  </cols>
  <sheetData>
    <row r="1" spans="1:26" ht="44.1" customHeight="1">
      <c r="A1" s="10" t="s">
        <v>35</v>
      </c>
      <c r="B1" s="15" t="s">
        <v>7</v>
      </c>
      <c r="C1" s="28" t="s">
        <v>8</v>
      </c>
      <c r="D1" s="15" t="s">
        <v>0</v>
      </c>
      <c r="E1" s="16" t="s">
        <v>9</v>
      </c>
      <c r="F1" s="15" t="s">
        <v>10</v>
      </c>
      <c r="G1" s="17" t="s">
        <v>11</v>
      </c>
      <c r="H1" s="15" t="s">
        <v>1</v>
      </c>
      <c r="I1" s="18" t="s">
        <v>31</v>
      </c>
      <c r="J1" s="27" t="s">
        <v>32</v>
      </c>
      <c r="K1" s="15" t="s">
        <v>12</v>
      </c>
      <c r="L1" s="15" t="s">
        <v>2</v>
      </c>
      <c r="M1" s="15" t="s">
        <v>13</v>
      </c>
      <c r="N1" s="15" t="s">
        <v>14</v>
      </c>
      <c r="O1" s="17" t="s">
        <v>15</v>
      </c>
      <c r="P1" s="15" t="s">
        <v>37</v>
      </c>
      <c r="Q1" s="19" t="s">
        <v>28</v>
      </c>
      <c r="R1" s="20" t="s">
        <v>29</v>
      </c>
      <c r="S1" s="21" t="s">
        <v>17</v>
      </c>
      <c r="T1" s="20" t="s">
        <v>18</v>
      </c>
      <c r="U1" s="20" t="s">
        <v>19</v>
      </c>
      <c r="V1" s="20" t="s">
        <v>16</v>
      </c>
      <c r="W1" s="20" t="s">
        <v>5</v>
      </c>
      <c r="X1" s="20" t="s">
        <v>4</v>
      </c>
      <c r="Y1" s="21" t="s">
        <v>3</v>
      </c>
      <c r="Z1" s="20" t="s">
        <v>6</v>
      </c>
    </row>
    <row r="2" spans="1:26">
      <c r="J2" s="22" t="str">
        <f t="shared" ref="J2" si="0">_xlfn.CONCAT(H2,I2)</f>
        <v/>
      </c>
      <c r="Q2" s="25" t="e">
        <f t="shared" ref="Q2" si="1">R2*E2</f>
        <v>#N/A</v>
      </c>
      <c r="R2" s="23" t="e">
        <f>VLOOKUP(F2,EX.RATES!$B:$E,4,FALSE)</f>
        <v>#N/A</v>
      </c>
      <c r="S2" s="11" t="str">
        <f t="shared" ref="S2" si="2">IF(M2=0,"-",IF(M2&lt;0,"LIV - Quantity Discrepancy",IF(M2&gt;0,"LIV - Quantity Discrepancy")))</f>
        <v>-</v>
      </c>
      <c r="T2" s="11" t="str">
        <f t="shared" ref="T2" si="3">IF(N2=0,"-",IF(N2&lt;0,"LIV - Price Discrepancy",IF(N2&gt;0,"LIV - Price Discrepancy")))</f>
        <v>-</v>
      </c>
      <c r="V2" s="12">
        <f t="shared" ref="V2" si="4">O2+P2</f>
        <v>0</v>
      </c>
      <c r="W2" s="13">
        <f t="shared" ref="W2" ca="1" si="5">TODAY()-V2</f>
        <v>45498</v>
      </c>
      <c r="X2" s="14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7" t="e">
        <f>VLOOKUP(A2,Country_owner!A:D,4,0)</f>
        <v>#N/A</v>
      </c>
    </row>
  </sheetData>
  <phoneticPr fontId="36" type="noConversion"/>
  <conditionalFormatting sqref="J1">
    <cfRule type="duplicateValues" dxfId="4" priority="5"/>
  </conditionalFormatting>
  <conditionalFormatting sqref="C2:C1048576">
    <cfRule type="duplicateValues" dxfId="3" priority="3"/>
  </conditionalFormatting>
  <conditionalFormatting sqref="J2">
    <cfRule type="duplicateValues" dxfId="2" priority="1089"/>
  </conditionalFormatting>
  <conditionalFormatting sqref="C1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A1:E1"/>
  <sheetViews>
    <sheetView zoomScale="85" zoomScaleNormal="85" workbookViewId="0">
      <selection activeCell="A2" sqref="A2"/>
    </sheetView>
  </sheetViews>
  <sheetFormatPr defaultRowHeight="13.2"/>
  <cols>
    <col min="1" max="5" width="12.88671875" style="5" customWidth="1"/>
    <col min="6" max="6" width="21.6640625" customWidth="1"/>
  </cols>
  <sheetData>
    <row r="1" spans="1:5" ht="26.4">
      <c r="A1" s="3" t="s">
        <v>23</v>
      </c>
      <c r="B1" s="4" t="s">
        <v>24</v>
      </c>
      <c r="C1" s="4" t="s">
        <v>25</v>
      </c>
      <c r="D1" s="4" t="s">
        <v>26</v>
      </c>
      <c r="E1" s="4" t="s">
        <v>27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D1"/>
  <sheetViews>
    <sheetView zoomScale="70" zoomScaleNormal="70" workbookViewId="0">
      <pane ySplit="1" topLeftCell="A2" activePane="bottomLeft" state="frozen"/>
      <selection activeCell="E28" sqref="E28"/>
      <selection pane="bottomLeft" activeCell="A2" sqref="A2"/>
    </sheetView>
  </sheetViews>
  <sheetFormatPr defaultColWidth="8.6640625" defaultRowHeight="13.8"/>
  <cols>
    <col min="1" max="1" width="11.6640625" style="39" customWidth="1"/>
    <col min="2" max="2" width="17.88671875" style="40" bestFit="1" customWidth="1"/>
    <col min="3" max="3" width="11.44140625" style="39" bestFit="1" customWidth="1"/>
    <col min="4" max="4" width="7.6640625" style="40" bestFit="1" customWidth="1"/>
    <col min="5" max="16384" width="8.6640625" style="39"/>
  </cols>
  <sheetData>
    <row r="1" spans="1:4" ht="33" customHeight="1">
      <c r="A1" s="41" t="s">
        <v>38</v>
      </c>
      <c r="B1" s="42" t="s">
        <v>39</v>
      </c>
      <c r="C1" s="43" t="s">
        <v>40</v>
      </c>
      <c r="D1" s="43" t="s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MACRO</vt:lpstr>
      <vt:lpstr>Summary</vt:lpstr>
      <vt:lpstr>Blocked for payment_details</vt:lpstr>
      <vt:lpstr>EX.RATES</vt:lpstr>
      <vt:lpstr>Country_owner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246</cp:lastModifiedBy>
  <cp:revision>1</cp:revision>
  <dcterms:created xsi:type="dcterms:W3CDTF">2016-03-07T11:57:36Z</dcterms:created>
  <dcterms:modified xsi:type="dcterms:W3CDTF">2024-07-25T11:26:27Z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